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Hiring Plan" sheetId="3" state="visible" r:id="rId5"/>
    <sheet name="Monthly Model" sheetId="4" state="visible" r:id="rId6"/>
    <sheet name="P&amp;L" sheetId="5" state="visible" r:id="rId7"/>
    <sheet name="Mee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<sst xmlns="http://schemas.openxmlformats.org/spreadsheetml/2006/main" count="326" uniqueCount="231">
  <si>
    <t xml:space="preserve">Investment plan: summary</t>
  </si>
  <si>
    <t xml:space="preserve">Live formulas. Change Assumptions or Hiring Plan and this page updates.</t>
  </si>
  <si>
    <t xml:space="preserve">Cost</t>
  </si>
  <si>
    <t xml:space="preserve">New roles hired</t>
  </si>
  <si>
    <t xml:space="preserve">Annual loaded cost of new roles at full run-rate ($)</t>
  </si>
  <si>
    <t xml:space="preserve">Monthly run-rate: new roles plus programs, month 12 ($)</t>
  </si>
  <si>
    <t xml:space="preserve">One-time hiring cost, all roles ($)</t>
  </si>
  <si>
    <t xml:space="preserve">Cash in and out</t>
  </si>
  <si>
    <t xml:space="preserve">Pre-investment, months 1-6, Nov-Apr ($)</t>
  </si>
  <si>
    <t xml:space="preserve">Pre-investment, months 1-8, Nov-Jun ($)</t>
  </si>
  <si>
    <t xml:space="preserve">Investment, months 1-12, Nov-Oct ($)</t>
  </si>
  <si>
    <t xml:space="preserve">Incremental gross profit back, months 1-12 ($)</t>
  </si>
  <si>
    <t xml:space="preserve">Net position at month 12 ($)</t>
  </si>
  <si>
    <t xml:space="preserve">Net position at month 18 ($)</t>
  </si>
  <si>
    <t xml:space="preserve">Payback month (cumulative gross profit covers cumulative investment)</t>
  </si>
  <si>
    <t xml:space="preserve">Revenue</t>
  </si>
  <si>
    <t xml:space="preserve">MRR at month 12, investment case ($)</t>
  </si>
  <si>
    <t xml:space="preserve">MRR at month 12, baseline with no hires ($)</t>
  </si>
  <si>
    <t xml:space="preserve">Net new MRR vs today ($)</t>
  </si>
  <si>
    <t xml:space="preserve">Net new MRR the hires add vs baseline ($)</t>
  </si>
  <si>
    <t xml:space="preserve">ARR at month 12, investment case ($)</t>
  </si>
  <si>
    <t xml:space="preserve">Gap to target MRR at month 12 ($)</t>
  </si>
  <si>
    <t xml:space="preserve">Stretch: set Assumptions!B35 to 3 (three more US AEs from month 3) and B28 to 1.5% churn to model the $1M MRR case.</t>
  </si>
  <si>
    <t xml:space="preserve">Assumptions</t>
  </si>
  <si>
    <t xml:space="preserve">Blue = input you can change; yellow = key assumption. Every other tab recalculates from here.</t>
  </si>
  <si>
    <t xml:space="preserve">People costs</t>
  </si>
  <si>
    <t xml:space="preserve">FX rate (INR per USD)</t>
  </si>
  <si>
    <t xml:space="preserve">From the Paid Media tracker (Leadership Dashboard input)</t>
  </si>
  <si>
    <t xml:space="preserve">Employer loading, India payroll</t>
  </si>
  <si>
    <t xml:space="preserve">From the Paid Media tracker (Employer loading on salaries)</t>
  </si>
  <si>
    <t xml:space="preserve">Employer loading, USD payroll</t>
  </si>
  <si>
    <t xml:space="preserve">Assumption: payroll taxes and benefits for USD-paid roles</t>
  </si>
  <si>
    <t xml:space="preserve">Agency fee on senior hires (% of annual OTE)</t>
  </si>
  <si>
    <t xml:space="preserve">Assumption: one month of CTC, standard India search fee</t>
  </si>
  <si>
    <t xml:space="preserve">Onboarding cost per hire ($, laptop and setup)</t>
  </si>
  <si>
    <t xml:space="preserve">Assumption</t>
  </si>
  <si>
    <t xml:space="preserve">Revenue base</t>
  </si>
  <si>
    <t xml:space="preserve">Opening MRR, TripleDart ($)</t>
  </si>
  <si>
    <t xml:space="preserve">From the user: $450K MRR today</t>
  </si>
  <si>
    <t xml:space="preserve">Baseline new MRR a month from today's engine ($)</t>
  </si>
  <si>
    <t xml:space="preserve">Client master: 2026 kick-offs ($180K active MRR) over ~9.5 months</t>
  </si>
  <si>
    <t xml:space="preserve">Baseline monthly gross churn</t>
  </si>
  <si>
    <t xml:space="preserve">Assumption; paid media runs ~7% (Client Book), SEO and RevOps unknown</t>
  </si>
  <si>
    <t xml:space="preserve">Gross margin on incremental revenue</t>
  </si>
  <si>
    <t xml:space="preserve">P&amp;L Jun-Sep 2026: direct cost 39-45% of revenue</t>
  </si>
  <si>
    <t xml:space="preserve">Sales productivity</t>
  </si>
  <si>
    <t xml:space="preserve">Quota per India and RoW closer (new ARR a year, $)</t>
  </si>
  <si>
    <t xml:space="preserve">User target: India and RoW team $3.5-4M (leader + 2 AEs)</t>
  </si>
  <si>
    <t xml:space="preserve">Quota per US AE (new ARR a year, $)</t>
  </si>
  <si>
    <t xml:space="preserve">Assumption, ramped</t>
  </si>
  <si>
    <t xml:space="preserve">Sudharshan's added bookings from US SDR meetings (new ARR a year, $)</t>
  </si>
  <si>
    <t xml:space="preserve">Partnerships manager (new ARR a year, $)</t>
  </si>
  <si>
    <t xml:space="preserve">Months before first bookings, India and RoW and SDR-sourced</t>
  </si>
  <si>
    <t xml:space="preserve">30-60 day sales cycle</t>
  </si>
  <si>
    <t xml:space="preserve">Months before first bookings, US AE</t>
  </si>
  <si>
    <t xml:space="preserve">60-90 day sales cycle</t>
  </si>
  <si>
    <t xml:space="preserve">Months before first bookings, partnerships</t>
  </si>
  <si>
    <t xml:space="preserve">Ramp step per month after first bookings</t>
  </si>
  <si>
    <t xml:space="preserve">Full productivity four months after first bookings</t>
  </si>
  <si>
    <t xml:space="preserve">Expansion</t>
  </si>
  <si>
    <t xml:space="preserve">Expansion from account management at full run-rate ($ new MRR a month)</t>
  </si>
  <si>
    <t xml:space="preserve">Price-ups and cross-sell; assumption</t>
  </si>
  <si>
    <t xml:space="preserve">Expansion per FDM at full run-rate ($ new MRR a month)</t>
  </si>
  <si>
    <t xml:space="preserve">Tier-1 account expansion; assumption</t>
  </si>
  <si>
    <t xml:space="preserve">Months after start before expansion begins</t>
  </si>
  <si>
    <t xml:space="preserve">Half run-rate in that month, full after</t>
  </si>
  <si>
    <t xml:space="preserve">Retention</t>
  </si>
  <si>
    <t xml:space="preserve">Churn floor with the account management layer</t>
  </si>
  <si>
    <t xml:space="preserve">Target</t>
  </si>
  <si>
    <t xml:space="preserve">Churn reduction per month, from month 3</t>
  </si>
  <si>
    <t xml:space="preserve">Reaches the floor in month 7</t>
  </si>
  <si>
    <t xml:space="preserve">Programs</t>
  </si>
  <si>
    <t xml:space="preserve">Sales tools and data ($ a month)</t>
  </si>
  <si>
    <t xml:space="preserve">Sales Navigator, Apollo/Clay, dialer</t>
  </si>
  <si>
    <t xml:space="preserve">Marketing programs ($ a month)</t>
  </si>
  <si>
    <t xml:space="preserve">ABM ads, events, content tools</t>
  </si>
  <si>
    <t xml:space="preserve">Travel and events ($ a month)</t>
  </si>
  <si>
    <t xml:space="preserve">US sales and FDM travel</t>
  </si>
  <si>
    <t xml:space="preserve">Stretch lever</t>
  </si>
  <si>
    <t xml:space="preserve">Stretch lever: extra US AEs (count)</t>
  </si>
  <si>
    <t xml:space="preserve">Set to 3 to model the $1M MRR case</t>
  </si>
  <si>
    <t xml:space="preserve">Stretch lever: start month for extra US AEs</t>
  </si>
  <si>
    <t xml:space="preserve">1 = Nov 2026</t>
  </si>
  <si>
    <t xml:space="preserve">Stretch lever: OTE per extra US AE ($)</t>
  </si>
  <si>
    <t xml:space="preserve">Same as the planned US AE</t>
  </si>
  <si>
    <t xml:space="preserve">Funnel</t>
  </si>
  <si>
    <t xml:space="preserve">New-logo ACV, India and RoW ($)</t>
  </si>
  <si>
    <t xml:space="preserve">New-logo ACV, US ($)</t>
  </si>
  <si>
    <t xml:space="preserve">Org design doc, Part 2</t>
  </si>
  <si>
    <t xml:space="preserve">New-logo ACV, today's engine and partnerships ($)</t>
  </si>
  <si>
    <t xml:space="preserve">Client master: ~$4.2K MRR per 2026 kick-off</t>
  </si>
  <si>
    <t xml:space="preserve">Meetings booked to won, India and RoW</t>
  </si>
  <si>
    <t xml:space="preserve">Org design doc funnel: 49 wins from 419 meetings</t>
  </si>
  <si>
    <t xml:space="preserve">Meetings booked to won, US</t>
  </si>
  <si>
    <t xml:space="preserve">Org design doc funnel: 60 wins from 750 meetings</t>
  </si>
  <si>
    <t xml:space="preserve">Cost base today</t>
  </si>
  <si>
    <t xml:space="preserve">Direct delivery cost today ($ a month)</t>
  </si>
  <si>
    <t xml:space="preserve">P&amp;L Sep 2026: FTE, freelancers, tools</t>
  </si>
  <si>
    <t xml:space="preserve">Indirect cost today ($ a month)</t>
  </si>
  <si>
    <t xml:space="preserve">P&amp;L Sep 2026</t>
  </si>
  <si>
    <t xml:space="preserve">Target MRR ($)</t>
  </si>
  <si>
    <t xml:space="preserve">From the user: $12M ARR</t>
  </si>
  <si>
    <t xml:space="preserve">Hiring plan: new roles, timing, owner and cost</t>
  </si>
  <si>
    <t xml:space="preserve">Blue = input. Start month 1 = Nov 2026. OTE = fixed + variable at 100% of target. Annual loaded cost includes employer loading.</t>
  </si>
  <si>
    <t xml:space="preserve">#</t>
  </si>
  <si>
    <t xml:space="preserve">Role</t>
  </si>
  <si>
    <t xml:space="preserve">Function</t>
  </si>
  <si>
    <t xml:space="preserve">Shift / location</t>
  </si>
  <si>
    <t xml:space="preserve">Currency</t>
  </si>
  <si>
    <t xml:space="preserve">Count</t>
  </si>
  <si>
    <t xml:space="preserve">OTE per head (native)</t>
  </si>
  <si>
    <t xml:space="preserve">Fixed %</t>
  </si>
  <si>
    <t xml:space="preserve">Fixed per head (native)</t>
  </si>
  <si>
    <t xml:space="preserve">Variable per head (native)</t>
  </si>
  <si>
    <t xml:space="preserve">Start month #</t>
  </si>
  <si>
    <t xml:space="preserve">Start month</t>
  </si>
  <si>
    <t xml:space="preserve">Hiring owner</t>
  </si>
  <si>
    <t xml:space="preserve">Senior search (1 = agency)</t>
  </si>
  <si>
    <t xml:space="preserve">OTE per head ($)</t>
  </si>
  <si>
    <t xml:space="preserve">Loading</t>
  </si>
  <si>
    <t xml:space="preserve">Annual loaded cost ($)</t>
  </si>
  <si>
    <t xml:space="preserve">Monthly loaded cost ($)</t>
  </si>
  <si>
    <t xml:space="preserve">One-time hiring cost ($)</t>
  </si>
  <si>
    <t xml:space="preserve">Recruiter</t>
  </si>
  <si>
    <t xml:space="preserve">People and HR</t>
  </si>
  <si>
    <t xml:space="preserve">Day, India</t>
  </si>
  <si>
    <t xml:space="preserve">INR</t>
  </si>
  <si>
    <t xml:space="preserve">Gayu (COO)</t>
  </si>
  <si>
    <t xml:space="preserve">Head of Account Management</t>
  </si>
  <si>
    <t xml:space="preserve">Account management</t>
  </si>
  <si>
    <t xml:space="preserve">Both shifts</t>
  </si>
  <si>
    <t xml:space="preserve">Finance Manager</t>
  </si>
  <si>
    <t xml:space="preserve">Finance</t>
  </si>
  <si>
    <t xml:space="preserve">JK</t>
  </si>
  <si>
    <t xml:space="preserve">Sales Leader, India and RoW</t>
  </si>
  <si>
    <t xml:space="preserve">Sales</t>
  </si>
  <si>
    <t xml:space="preserve">GMT shift, India and RoW</t>
  </si>
  <si>
    <t xml:space="preserve">Sudharshan</t>
  </si>
  <si>
    <t xml:space="preserve">SDR, India and RoW</t>
  </si>
  <si>
    <t xml:space="preserve">Sudharshan, then India and RoW lead</t>
  </si>
  <si>
    <t xml:space="preserve">SDR, US shift</t>
  </si>
  <si>
    <t xml:space="preserve">EST shift, US and Canada</t>
  </si>
  <si>
    <t xml:space="preserve">Social and founder-brand manager</t>
  </si>
  <si>
    <t xml:space="preserve">Growth</t>
  </si>
  <si>
    <t xml:space="preserve">Mahesh</t>
  </si>
  <si>
    <t xml:space="preserve">Director, Paid Media, India and RoW</t>
  </si>
  <si>
    <t xml:space="preserve">Delivery leadership</t>
  </si>
  <si>
    <t xml:space="preserve">Sabari</t>
  </si>
  <si>
    <t xml:space="preserve">Director, SEO and GEO, India and RoW</t>
  </si>
  <si>
    <t xml:space="preserve">Manoj</t>
  </si>
  <si>
    <t xml:space="preserve">Account Manager, US shift</t>
  </si>
  <si>
    <t xml:space="preserve">Project Manager</t>
  </si>
  <si>
    <t xml:space="preserve">Project management</t>
  </si>
  <si>
    <t xml:space="preserve">AE, India and RoW</t>
  </si>
  <si>
    <t xml:space="preserve">India and RoW sales lead</t>
  </si>
  <si>
    <t xml:space="preserve">AE, US</t>
  </si>
  <si>
    <t xml:space="preserve">US-based</t>
  </si>
  <si>
    <t xml:space="preserve">USD</t>
  </si>
  <si>
    <t xml:space="preserve">Product Marketing Manager</t>
  </si>
  <si>
    <t xml:space="preserve">Paid and ABM marketer</t>
  </si>
  <si>
    <t xml:space="preserve">Director, Paid Media, US and Canada</t>
  </si>
  <si>
    <t xml:space="preserve">Director, SEO and GEO, US and Canada</t>
  </si>
  <si>
    <t xml:space="preserve">Account Manager, India and RoW</t>
  </si>
  <si>
    <t xml:space="preserve">Director, RevOps, India and RoW</t>
  </si>
  <si>
    <t xml:space="preserve">Forward-deployed marketer, US</t>
  </si>
  <si>
    <t xml:space="preserve">FDM</t>
  </si>
  <si>
    <t xml:space="preserve">Shiyam and Gayu</t>
  </si>
  <si>
    <t xml:space="preserve">Forward-deployed marketer, India and RoW</t>
  </si>
  <si>
    <t xml:space="preserve">Partnerships Manager</t>
  </si>
  <si>
    <t xml:space="preserve">AE, US (stretch lever)</t>
  </si>
  <si>
    <t xml:space="preserve">Total</t>
  </si>
  <si>
    <t xml:space="preserve">Total excluding stretch lever</t>
  </si>
  <si>
    <t xml:space="preserve">Backfill, not in this plan: People Manager (Hitali leaves 30 Oct) is a replacement, not a new cost.</t>
  </si>
  <si>
    <t xml:space="preserve">Salary bands from the user: India and RoW directors Rs40L + Rs10L; US-shift directors $60-70K + $10-15K (midpoint used); India sales lead Rs50L fixed at 70/30; India AEs Rs25L OTE at 70/30; US AE $60-70K fixed at 50/50; SDRs Rs15-20L at 80/20. Other bands are assumptions.</t>
  </si>
  <si>
    <t xml:space="preserve">Monthly model: investment against return, Nov 2026 to Apr 2028</t>
  </si>
  <si>
    <t xml:space="preserve">All values are formulas from Assumptions and Hiring Plan. Baseline = no new hires; investment case = the hiring plan.</t>
  </si>
  <si>
    <t xml:space="preserve">Month #</t>
  </si>
  <si>
    <t xml:space="preserve">Open</t>
  </si>
  <si>
    <t xml:space="preserve">Month</t>
  </si>
  <si>
    <t xml:space="preserve">Investment</t>
  </si>
  <si>
    <t xml:space="preserve">People cost of new roles ($)</t>
  </si>
  <si>
    <t xml:space="preserve">Programs: tools, marketing, travel ($)</t>
  </si>
  <si>
    <t xml:space="preserve">Total investment ($)</t>
  </si>
  <si>
    <t xml:space="preserve">Cumulative investment ($)</t>
  </si>
  <si>
    <t xml:space="preserve">Baseline MRR, no new hires ($)</t>
  </si>
  <si>
    <t xml:space="preserve">New MRR: India and RoW sales team ($)</t>
  </si>
  <si>
    <t xml:space="preserve">New MRR: US AEs ($)</t>
  </si>
  <si>
    <t xml:space="preserve">New MRR: Sudharshan's added US bookings ($)</t>
  </si>
  <si>
    <t xml:space="preserve">New MRR: partnerships ($)</t>
  </si>
  <si>
    <t xml:space="preserve">Expansion MRR: account management ($)</t>
  </si>
  <si>
    <t xml:space="preserve">Expansion MRR: FDMs ($)</t>
  </si>
  <si>
    <t xml:space="preserve">New MRR: today's engine ($)</t>
  </si>
  <si>
    <t xml:space="preserve">Monthly gross churn, investment case</t>
  </si>
  <si>
    <t xml:space="preserve">Investment-case MRR ($)</t>
  </si>
  <si>
    <t xml:space="preserve">Incremental MRR vs baseline ($)</t>
  </si>
  <si>
    <t xml:space="preserve">Incremental gross profit ($)</t>
  </si>
  <si>
    <t xml:space="preserve">Cumulative incremental gross profit ($)</t>
  </si>
  <si>
    <t xml:space="preserve">Net position: cumulative gross profit less investment ($)</t>
  </si>
  <si>
    <t xml:space="preserve">Investment-case ARR ($)</t>
  </si>
  <si>
    <t xml:space="preserve">Payback month flag</t>
  </si>
  <si>
    <t xml:space="preserve">Monthly P&amp;L at fully loaded cost</t>
  </si>
  <si>
    <t xml:space="preserve">Today = Sep 2026 cost base at $450K MRR. Direct delivery cost on revenue above today scales at (1 - gross margin).</t>
  </si>
  <si>
    <t xml:space="preserve">$ a month</t>
  </si>
  <si>
    <t xml:space="preserve">Today</t>
  </si>
  <si>
    <t xml:space="preserve">New structure fully loaded, today's revenue</t>
  </si>
  <si>
    <t xml:space="preserve">Month 12, investment case</t>
  </si>
  <si>
    <t xml:space="preserve">At target MRR</t>
  </si>
  <si>
    <t xml:space="preserve">Revenue (MRR)</t>
  </si>
  <si>
    <t xml:space="preserve">Direct delivery cost</t>
  </si>
  <si>
    <t xml:space="preserve">Indirect cost (today)</t>
  </si>
  <si>
    <t xml:space="preserve">New roles, loaded</t>
  </si>
  <si>
    <t xml:space="preserve">Programs: tools, marketing, travel</t>
  </si>
  <si>
    <t xml:space="preserve">Total cost</t>
  </si>
  <si>
    <t xml:space="preserve">EBITDA</t>
  </si>
  <si>
    <t xml:space="preserve">EBITDA margin</t>
  </si>
  <si>
    <t xml:space="preserve">Delivery gross margin</t>
  </si>
  <si>
    <t xml:space="preserve">Sep 2026 revenue implied by the 40% direct-cost ratio was ~$391K; at that revenue today's EBITDA margin is ~50%, not the 56% shown at $450K MRR.</t>
  </si>
  <si>
    <t xml:space="preserve">Bookings and meetings needed, months 1-12</t>
  </si>
  <si>
    <t xml:space="preserve">Source</t>
  </si>
  <si>
    <t xml:space="preserve">New ARR booked, months 1-12 ($)</t>
  </si>
  <si>
    <t xml:space="preserve">New-logo ACV ($)</t>
  </si>
  <si>
    <t xml:space="preserve">Deals</t>
  </si>
  <si>
    <t xml:space="preserve">Booked meeting to won</t>
  </si>
  <si>
    <t xml:space="preserve">Meetings booked, year</t>
  </si>
  <si>
    <t xml:space="preserve">Meetings booked, a month</t>
  </si>
  <si>
    <t xml:space="preserve">Full run-rate meetings a month</t>
  </si>
  <si>
    <t xml:space="preserve">India and RoW sales team</t>
  </si>
  <si>
    <t xml:space="preserve">US AEs and Sudharshan</t>
  </si>
  <si>
    <t xml:space="preserve">Partnerships</t>
  </si>
  <si>
    <t xml:space="preserve">Today's engine (founders, referrals, inbound)</t>
  </si>
  <si>
    <t xml:space="preserve">SDR capacity: 4 SDRs at 12-15 qualified meetings a month = 48-60 a month.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</si>
</sst>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 t="s">
        <v>2</v>
      </c>
      <c r="B3" s="2"/>
    </row>
    <row r="4" customFormat="false" ht="15" hidden="false" customHeight="false" outlineLevel="0" collapsed="false">
      <c r="A4" s="2" t="s">
        <v>3</v>
      </c>
      <c r="B4" s="5" t="n">
        <f aca="false">'Hiring Plan'!F32</f>
        <v>26</v>
      </c>
    </row>
    <row r="5" customFormat="false" ht="15" hidden="false" customHeight="false" outlineLevel="0" collapsed="false">
      <c r="A5" s="2" t="s">
        <v>4</v>
      </c>
      <c r="B5" s="6" t="n">
        <f aca="false">'Hiring Plan'!Q32</f>
        <v>1162961.70212766</v>
      </c>
    </row>
    <row r="6" customFormat="false" ht="15" hidden="false" customHeight="false" outlineLevel="0" collapsed="false">
      <c r="A6" s="2" t="s">
        <v>5</v>
      </c>
      <c r="B6" s="6" t="n">
        <f aca="false">'Monthly Model'!N6+'Monthly Model'!N8</f>
        <v>112413.475177305</v>
      </c>
    </row>
    <row r="7" customFormat="false" ht="15" hidden="false" customHeight="false" outlineLevel="0" collapsed="false">
      <c r="A7" s="2" t="s">
        <v>6</v>
      </c>
      <c r="B7" s="6" t="n">
        <f aca="false">'Hiring Plan'!S32</f>
        <v>95739.7765957447</v>
      </c>
    </row>
    <row r="8" customFormat="false" ht="15" hidden="false" customHeight="false" outlineLevel="0" collapsed="false">
      <c r="A8" s="4" t="s">
        <v>7</v>
      </c>
      <c r="B8" s="2"/>
    </row>
    <row r="9" customFormat="false" ht="15" hidden="false" customHeight="false" outlineLevel="0" collapsed="false">
      <c r="A9" s="2" t="s">
        <v>8</v>
      </c>
      <c r="B9" s="6" t="n">
        <f aca="false">SUM('Monthly Model'!C9:H9)</f>
        <v>490313.535460993</v>
      </c>
    </row>
    <row r="10" customFormat="false" ht="15" hidden="false" customHeight="false" outlineLevel="0" collapsed="false">
      <c r="A10" s="2" t="s">
        <v>9</v>
      </c>
      <c r="B10" s="6" t="n">
        <f aca="false">SUM('Monthly Model'!C9:J9)</f>
        <v>716340.485815603</v>
      </c>
    </row>
    <row r="11" customFormat="false" ht="15" hidden="false" customHeight="false" outlineLevel="0" collapsed="false">
      <c r="A11" s="2" t="s">
        <v>10</v>
      </c>
      <c r="B11" s="6" t="n">
        <f aca="false">SUM('Monthly Model'!C9:N9)</f>
        <v>1165994.38652482</v>
      </c>
    </row>
    <row r="12" customFormat="false" ht="15" hidden="false" customHeight="false" outlineLevel="0" collapsed="false">
      <c r="A12" s="2" t="s">
        <v>11</v>
      </c>
      <c r="B12" s="6" t="n">
        <f aca="false">SUM('Monthly Model'!C24:N24)</f>
        <v>825452.1648062</v>
      </c>
    </row>
    <row r="13" customFormat="false" ht="15" hidden="false" customHeight="false" outlineLevel="0" collapsed="false">
      <c r="A13" s="2" t="s">
        <v>12</v>
      </c>
      <c r="B13" s="6" t="n">
        <f aca="false">'Monthly Model'!N26</f>
        <v>-340542.221718623</v>
      </c>
    </row>
    <row r="14" customFormat="false" ht="15" hidden="false" customHeight="false" outlineLevel="0" collapsed="false">
      <c r="A14" s="2" t="s">
        <v>13</v>
      </c>
      <c r="B14" s="6" t="n">
        <f aca="false">'Monthly Model'!T26</f>
        <v>864889.348280356</v>
      </c>
    </row>
    <row r="15" customFormat="false" ht="15" hidden="false" customHeight="false" outlineLevel="0" collapsed="false">
      <c r="A15" s="2" t="s">
        <v>14</v>
      </c>
      <c r="B15" s="7" t="str">
        <f aca="false">IF(COUNT('Monthly Model'!C28:T28)=0,"Beyond month 18",INDEX('Monthly Model'!C4:T4,MIN('Monthly Model'!C28:T28)))</f>
        <v>Jan 28</v>
      </c>
    </row>
    <row r="16" customFormat="false" ht="15" hidden="false" customHeight="false" outlineLevel="0" collapsed="false">
      <c r="A16" s="4" t="s">
        <v>15</v>
      </c>
      <c r="B16" s="2"/>
    </row>
    <row r="17" customFormat="false" ht="15" hidden="false" customHeight="false" outlineLevel="0" collapsed="false">
      <c r="A17" s="2" t="s">
        <v>16</v>
      </c>
      <c r="B17" s="6" t="n">
        <f aca="false">'Monthly Model'!N22</f>
        <v>851644.755815688</v>
      </c>
    </row>
    <row r="18" customFormat="false" ht="15" hidden="false" customHeight="false" outlineLevel="0" collapsed="false">
      <c r="A18" s="2" t="s">
        <v>17</v>
      </c>
      <c r="B18" s="6" t="n">
        <f aca="false">'Monthly Model'!N12</f>
        <v>506128.90048417</v>
      </c>
    </row>
    <row r="19" customFormat="false" ht="15" hidden="false" customHeight="false" outlineLevel="0" collapsed="false">
      <c r="A19" s="2" t="s">
        <v>18</v>
      </c>
      <c r="B19" s="6" t="n">
        <f aca="false">'Monthly Model'!N22-Assumptions!B10</f>
        <v>401644.755815688</v>
      </c>
    </row>
    <row r="20" customFormat="false" ht="15" hidden="false" customHeight="false" outlineLevel="0" collapsed="false">
      <c r="A20" s="2" t="s">
        <v>19</v>
      </c>
      <c r="B20" s="6" t="n">
        <f aca="false">'Monthly Model'!N23</f>
        <v>345515.855331518</v>
      </c>
    </row>
    <row r="21" customFormat="false" ht="15" hidden="false" customHeight="false" outlineLevel="0" collapsed="false">
      <c r="A21" s="2" t="s">
        <v>20</v>
      </c>
      <c r="B21" s="6" t="n">
        <f aca="false">'Monthly Model'!N27</f>
        <v>10219737.0697883</v>
      </c>
    </row>
    <row r="22" customFormat="false" ht="15" hidden="false" customHeight="false" outlineLevel="0" collapsed="false">
      <c r="A22" s="2" t="s">
        <v>21</v>
      </c>
      <c r="B22" s="6" t="n">
        <f aca="false">MAX(0,Assumptions!B47-'Monthly Model'!N22)</f>
        <v>148355.244184312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3" t="s">
        <v>22</v>
      </c>
      <c r="B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23</v>
      </c>
      <c r="B1" s="2"/>
      <c r="C1" s="2"/>
    </row>
    <row r="2" customFormat="false" ht="15" hidden="false" customHeight="false" outlineLevel="0" collapsed="false">
      <c r="A2" s="3" t="s">
        <v>24</v>
      </c>
      <c r="B2" s="2"/>
      <c r="C2" s="2"/>
    </row>
    <row r="3" customFormat="false" ht="15" hidden="false" customHeight="false" outlineLevel="0" collapsed="false">
      <c r="A3" s="4" t="s">
        <v>25</v>
      </c>
      <c r="B3" s="2"/>
      <c r="C3" s="2"/>
    </row>
    <row r="4" customFormat="false" ht="15" hidden="false" customHeight="false" outlineLevel="0" collapsed="false">
      <c r="A4" s="8" t="s">
        <v>26</v>
      </c>
      <c r="B4" s="9" t="n">
        <v>94</v>
      </c>
      <c r="C4" s="10" t="s">
        <v>27</v>
      </c>
    </row>
    <row r="5" customFormat="false" ht="15" hidden="false" customHeight="false" outlineLevel="0" collapsed="false">
      <c r="A5" s="8" t="s">
        <v>28</v>
      </c>
      <c r="B5" s="11" t="n">
        <v>0.04</v>
      </c>
      <c r="C5" s="10" t="s">
        <v>29</v>
      </c>
    </row>
    <row r="6" customFormat="false" ht="15" hidden="false" customHeight="false" outlineLevel="0" collapsed="false">
      <c r="A6" s="8" t="s">
        <v>30</v>
      </c>
      <c r="B6" s="11" t="n">
        <v>0.12</v>
      </c>
      <c r="C6" s="10" t="s">
        <v>31</v>
      </c>
    </row>
    <row r="7" customFormat="false" ht="15" hidden="false" customHeight="false" outlineLevel="0" collapsed="false">
      <c r="A7" s="8" t="s">
        <v>32</v>
      </c>
      <c r="B7" s="11" t="n">
        <v>0.0833</v>
      </c>
      <c r="C7" s="10" t="s">
        <v>33</v>
      </c>
    </row>
    <row r="8" customFormat="false" ht="15" hidden="false" customHeight="false" outlineLevel="0" collapsed="false">
      <c r="A8" s="8" t="s">
        <v>34</v>
      </c>
      <c r="B8" s="12" t="n">
        <v>1200</v>
      </c>
      <c r="C8" s="10" t="s">
        <v>35</v>
      </c>
    </row>
    <row r="9" customFormat="false" ht="15" hidden="false" customHeight="false" outlineLevel="0" collapsed="false">
      <c r="A9" s="4" t="s">
        <v>36</v>
      </c>
      <c r="B9" s="2"/>
      <c r="C9" s="2"/>
    </row>
    <row r="10" customFormat="false" ht="15" hidden="false" customHeight="false" outlineLevel="0" collapsed="false">
      <c r="A10" s="8" t="s">
        <v>37</v>
      </c>
      <c r="B10" s="13" t="n">
        <v>450000</v>
      </c>
      <c r="C10" s="10" t="s">
        <v>38</v>
      </c>
    </row>
    <row r="11" customFormat="false" ht="15" hidden="false" customHeight="false" outlineLevel="0" collapsed="false">
      <c r="A11" s="8" t="s">
        <v>39</v>
      </c>
      <c r="B11" s="12" t="n">
        <v>19000</v>
      </c>
      <c r="C11" s="10" t="s">
        <v>40</v>
      </c>
    </row>
    <row r="12" customFormat="false" ht="15" hidden="false" customHeight="false" outlineLevel="0" collapsed="false">
      <c r="A12" s="8" t="s">
        <v>41</v>
      </c>
      <c r="B12" s="14" t="n">
        <v>0.03</v>
      </c>
      <c r="C12" s="10" t="s">
        <v>42</v>
      </c>
    </row>
    <row r="13" customFormat="false" ht="15" hidden="false" customHeight="false" outlineLevel="0" collapsed="false">
      <c r="A13" s="8" t="s">
        <v>43</v>
      </c>
      <c r="B13" s="14" t="n">
        <v>0.6</v>
      </c>
      <c r="C13" s="10" t="s">
        <v>44</v>
      </c>
    </row>
    <row r="14" customFormat="false" ht="15" hidden="false" customHeight="false" outlineLevel="0" collapsed="false">
      <c r="A14" s="4" t="s">
        <v>45</v>
      </c>
      <c r="B14" s="2"/>
      <c r="C14" s="2"/>
    </row>
    <row r="15" customFormat="false" ht="15" hidden="false" customHeight="false" outlineLevel="0" collapsed="false">
      <c r="A15" s="8" t="s">
        <v>46</v>
      </c>
      <c r="B15" s="13" t="n">
        <v>1200000</v>
      </c>
      <c r="C15" s="10" t="s">
        <v>47</v>
      </c>
    </row>
    <row r="16" customFormat="false" ht="15" hidden="false" customHeight="false" outlineLevel="0" collapsed="false">
      <c r="A16" s="8" t="s">
        <v>48</v>
      </c>
      <c r="B16" s="12" t="n">
        <v>1200000</v>
      </c>
      <c r="C16" s="10" t="s">
        <v>49</v>
      </c>
    </row>
    <row r="17" customFormat="false" ht="15" hidden="false" customHeight="false" outlineLevel="0" collapsed="false">
      <c r="A17" s="8" t="s">
        <v>50</v>
      </c>
      <c r="B17" s="12" t="n">
        <v>600000</v>
      </c>
      <c r="C17" s="10" t="s">
        <v>35</v>
      </c>
    </row>
    <row r="18" customFormat="false" ht="15" hidden="false" customHeight="false" outlineLevel="0" collapsed="false">
      <c r="A18" s="8" t="s">
        <v>51</v>
      </c>
      <c r="B18" s="12" t="n">
        <v>500000</v>
      </c>
      <c r="C18" s="10" t="s">
        <v>35</v>
      </c>
    </row>
    <row r="19" customFormat="false" ht="15" hidden="false" customHeight="false" outlineLevel="0" collapsed="false">
      <c r="A19" s="8" t="s">
        <v>52</v>
      </c>
      <c r="B19" s="9" t="n">
        <v>2</v>
      </c>
      <c r="C19" s="10" t="s">
        <v>53</v>
      </c>
    </row>
    <row r="20" customFormat="false" ht="15" hidden="false" customHeight="false" outlineLevel="0" collapsed="false">
      <c r="A20" s="8" t="s">
        <v>54</v>
      </c>
      <c r="B20" s="9" t="n">
        <v>3</v>
      </c>
      <c r="C20" s="10" t="s">
        <v>55</v>
      </c>
    </row>
    <row r="21" customFormat="false" ht="15" hidden="false" customHeight="false" outlineLevel="0" collapsed="false">
      <c r="A21" s="8" t="s">
        <v>56</v>
      </c>
      <c r="B21" s="9" t="n">
        <v>3</v>
      </c>
      <c r="C21" s="10" t="s">
        <v>35</v>
      </c>
    </row>
    <row r="22" customFormat="false" ht="15" hidden="false" customHeight="false" outlineLevel="0" collapsed="false">
      <c r="A22" s="8" t="s">
        <v>57</v>
      </c>
      <c r="B22" s="11" t="n">
        <v>0.25</v>
      </c>
      <c r="C22" s="10" t="s">
        <v>58</v>
      </c>
    </row>
    <row r="23" customFormat="false" ht="15" hidden="false" customHeight="false" outlineLevel="0" collapsed="false">
      <c r="A23" s="4" t="s">
        <v>59</v>
      </c>
      <c r="B23" s="2"/>
      <c r="C23" s="2"/>
    </row>
    <row r="24" customFormat="false" ht="15" hidden="false" customHeight="false" outlineLevel="0" collapsed="false">
      <c r="A24" s="8" t="s">
        <v>60</v>
      </c>
      <c r="B24" s="12" t="n">
        <v>5000</v>
      </c>
      <c r="C24" s="10" t="s">
        <v>61</v>
      </c>
    </row>
    <row r="25" customFormat="false" ht="15" hidden="false" customHeight="false" outlineLevel="0" collapsed="false">
      <c r="A25" s="8" t="s">
        <v>62</v>
      </c>
      <c r="B25" s="12" t="n">
        <v>4000</v>
      </c>
      <c r="C25" s="10" t="s">
        <v>63</v>
      </c>
    </row>
    <row r="26" customFormat="false" ht="15" hidden="false" customHeight="false" outlineLevel="0" collapsed="false">
      <c r="A26" s="8" t="s">
        <v>64</v>
      </c>
      <c r="B26" s="9" t="n">
        <v>2</v>
      </c>
      <c r="C26" s="10" t="s">
        <v>65</v>
      </c>
    </row>
    <row r="27" customFormat="false" ht="15" hidden="false" customHeight="false" outlineLevel="0" collapsed="false">
      <c r="A27" s="4" t="s">
        <v>66</v>
      </c>
      <c r="B27" s="2"/>
      <c r="C27" s="2"/>
    </row>
    <row r="28" customFormat="false" ht="15" hidden="false" customHeight="false" outlineLevel="0" collapsed="false">
      <c r="A28" s="8" t="s">
        <v>67</v>
      </c>
      <c r="B28" s="14" t="n">
        <v>0.02</v>
      </c>
      <c r="C28" s="10" t="s">
        <v>68</v>
      </c>
    </row>
    <row r="29" customFormat="false" ht="15" hidden="false" customHeight="false" outlineLevel="0" collapsed="false">
      <c r="A29" s="8" t="s">
        <v>69</v>
      </c>
      <c r="B29" s="11" t="n">
        <v>0.002</v>
      </c>
      <c r="C29" s="10" t="s">
        <v>70</v>
      </c>
    </row>
    <row r="30" customFormat="false" ht="15" hidden="false" customHeight="false" outlineLevel="0" collapsed="false">
      <c r="A30" s="4" t="s">
        <v>71</v>
      </c>
      <c r="B30" s="2"/>
      <c r="C30" s="2"/>
    </row>
    <row r="31" customFormat="false" ht="15" hidden="false" customHeight="false" outlineLevel="0" collapsed="false">
      <c r="A31" s="8" t="s">
        <v>72</v>
      </c>
      <c r="B31" s="12" t="n">
        <v>2500</v>
      </c>
      <c r="C31" s="10" t="s">
        <v>73</v>
      </c>
    </row>
    <row r="32" customFormat="false" ht="15" hidden="false" customHeight="false" outlineLevel="0" collapsed="false">
      <c r="A32" s="8" t="s">
        <v>74</v>
      </c>
      <c r="B32" s="12" t="n">
        <v>10000</v>
      </c>
      <c r="C32" s="10" t="s">
        <v>75</v>
      </c>
    </row>
    <row r="33" customFormat="false" ht="15" hidden="false" customHeight="false" outlineLevel="0" collapsed="false">
      <c r="A33" s="8" t="s">
        <v>76</v>
      </c>
      <c r="B33" s="12" t="n">
        <v>3000</v>
      </c>
      <c r="C33" s="10" t="s">
        <v>77</v>
      </c>
    </row>
    <row r="34" customFormat="false" ht="15" hidden="false" customHeight="false" outlineLevel="0" collapsed="false">
      <c r="A34" s="4" t="s">
        <v>78</v>
      </c>
      <c r="B34" s="2"/>
      <c r="C34" s="2"/>
    </row>
    <row r="35" customFormat="false" ht="15" hidden="false" customHeight="false" outlineLevel="0" collapsed="false">
      <c r="A35" s="8" t="s">
        <v>79</v>
      </c>
      <c r="B35" s="9" t="n">
        <v>0</v>
      </c>
      <c r="C35" s="10" t="s">
        <v>80</v>
      </c>
    </row>
    <row r="36" customFormat="false" ht="15" hidden="false" customHeight="false" outlineLevel="0" collapsed="false">
      <c r="A36" s="8" t="s">
        <v>81</v>
      </c>
      <c r="B36" s="9" t="n">
        <v>3</v>
      </c>
      <c r="C36" s="10" t="s">
        <v>82</v>
      </c>
    </row>
    <row r="37" customFormat="false" ht="15" hidden="false" customHeight="false" outlineLevel="0" collapsed="false">
      <c r="A37" s="8" t="s">
        <v>83</v>
      </c>
      <c r="B37" s="12" t="n">
        <v>130000</v>
      </c>
      <c r="C37" s="10" t="s">
        <v>84</v>
      </c>
    </row>
    <row r="38" customFormat="false" ht="15" hidden="false" customHeight="false" outlineLevel="0" collapsed="false">
      <c r="A38" s="4" t="s">
        <v>85</v>
      </c>
      <c r="B38" s="2"/>
      <c r="C38" s="2"/>
    </row>
    <row r="39" customFormat="false" ht="15" hidden="false" customHeight="false" outlineLevel="0" collapsed="false">
      <c r="A39" s="8" t="s">
        <v>86</v>
      </c>
      <c r="B39" s="12" t="n">
        <v>60000</v>
      </c>
      <c r="C39" s="10" t="s">
        <v>35</v>
      </c>
    </row>
    <row r="40" customFormat="false" ht="15" hidden="false" customHeight="false" outlineLevel="0" collapsed="false">
      <c r="A40" s="8" t="s">
        <v>87</v>
      </c>
      <c r="B40" s="12" t="n">
        <v>100000</v>
      </c>
      <c r="C40" s="10" t="s">
        <v>88</v>
      </c>
    </row>
    <row r="41" customFormat="false" ht="15" hidden="false" customHeight="false" outlineLevel="0" collapsed="false">
      <c r="A41" s="8" t="s">
        <v>89</v>
      </c>
      <c r="B41" s="12" t="n">
        <v>50000</v>
      </c>
      <c r="C41" s="10" t="s">
        <v>90</v>
      </c>
    </row>
    <row r="42" customFormat="false" ht="15" hidden="false" customHeight="false" outlineLevel="0" collapsed="false">
      <c r="A42" s="8" t="s">
        <v>91</v>
      </c>
      <c r="B42" s="11" t="n">
        <v>0.117</v>
      </c>
      <c r="C42" s="10" t="s">
        <v>92</v>
      </c>
    </row>
    <row r="43" customFormat="false" ht="15" hidden="false" customHeight="false" outlineLevel="0" collapsed="false">
      <c r="A43" s="8" t="s">
        <v>93</v>
      </c>
      <c r="B43" s="11" t="n">
        <v>0.08</v>
      </c>
      <c r="C43" s="10" t="s">
        <v>94</v>
      </c>
    </row>
    <row r="44" customFormat="false" ht="15" hidden="false" customHeight="false" outlineLevel="0" collapsed="false">
      <c r="A44" s="4" t="s">
        <v>95</v>
      </c>
      <c r="B44" s="2"/>
      <c r="C44" s="2"/>
    </row>
    <row r="45" customFormat="false" ht="15" hidden="false" customHeight="false" outlineLevel="0" collapsed="false">
      <c r="A45" s="8" t="s">
        <v>96</v>
      </c>
      <c r="B45" s="12" t="n">
        <v>156405</v>
      </c>
      <c r="C45" s="10" t="s">
        <v>97</v>
      </c>
    </row>
    <row r="46" customFormat="false" ht="15" hidden="false" customHeight="false" outlineLevel="0" collapsed="false">
      <c r="A46" s="8" t="s">
        <v>98</v>
      </c>
      <c r="B46" s="12" t="n">
        <v>40102</v>
      </c>
      <c r="C46" s="10" t="s">
        <v>99</v>
      </c>
    </row>
    <row r="47" customFormat="false" ht="15" hidden="false" customHeight="false" outlineLevel="0" collapsed="false">
      <c r="A47" s="8" t="s">
        <v>100</v>
      </c>
      <c r="B47" s="13" t="n">
        <v>1000000</v>
      </c>
      <c r="C47" s="1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6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9" min="18" style="0" width="15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35.05" hidden="false" customHeight="false" outlineLevel="0" collapsed="false">
      <c r="A4" s="15" t="s">
        <v>104</v>
      </c>
      <c r="B4" s="15" t="s">
        <v>105</v>
      </c>
      <c r="C4" s="15" t="s">
        <v>106</v>
      </c>
      <c r="D4" s="15" t="s">
        <v>107</v>
      </c>
      <c r="E4" s="15" t="s">
        <v>108</v>
      </c>
      <c r="F4" s="15" t="s">
        <v>109</v>
      </c>
      <c r="G4" s="15" t="s">
        <v>110</v>
      </c>
      <c r="H4" s="15" t="s">
        <v>111</v>
      </c>
      <c r="I4" s="15" t="s">
        <v>112</v>
      </c>
      <c r="J4" s="15" t="s">
        <v>113</v>
      </c>
      <c r="K4" s="15" t="s">
        <v>114</v>
      </c>
      <c r="L4" s="15" t="s">
        <v>115</v>
      </c>
      <c r="M4" s="15" t="s">
        <v>116</v>
      </c>
      <c r="N4" s="15" t="s">
        <v>117</v>
      </c>
      <c r="O4" s="15" t="s">
        <v>118</v>
      </c>
      <c r="P4" s="15" t="s">
        <v>119</v>
      </c>
      <c r="Q4" s="15" t="s">
        <v>120</v>
      </c>
      <c r="R4" s="15" t="s">
        <v>121</v>
      </c>
      <c r="S4" s="15" t="s">
        <v>122</v>
      </c>
    </row>
    <row r="5" customFormat="false" ht="15" hidden="false" customHeight="false" outlineLevel="0" collapsed="false">
      <c r="A5" s="8" t="n">
        <v>1</v>
      </c>
      <c r="B5" s="8" t="s">
        <v>123</v>
      </c>
      <c r="C5" s="8" t="s">
        <v>124</v>
      </c>
      <c r="D5" s="8" t="s">
        <v>125</v>
      </c>
      <c r="E5" s="16" t="s">
        <v>126</v>
      </c>
      <c r="F5" s="16" t="n">
        <v>1</v>
      </c>
      <c r="G5" s="9" t="n">
        <v>1500000</v>
      </c>
      <c r="H5" s="11" t="n">
        <v>1</v>
      </c>
      <c r="I5" s="17" t="n">
        <f aca="false">G5*H5</f>
        <v>1500000</v>
      </c>
      <c r="J5" s="17" t="n">
        <f aca="false">G5-I5</f>
        <v>0</v>
      </c>
      <c r="K5" s="16" t="n">
        <v>1</v>
      </c>
      <c r="L5" s="8" t="str">
        <f aca="false">TEXT(DATE(2026,10+K5,1),"mmm yyyy")</f>
        <v>Nov 2026</v>
      </c>
      <c r="M5" s="8" t="s">
        <v>127</v>
      </c>
      <c r="N5" s="16" t="n">
        <v>0</v>
      </c>
      <c r="O5" s="6" t="n">
        <f aca="false">IF(E5="INR",G5/Assumptions!$B$4,G5)</f>
        <v>15957.4468085106</v>
      </c>
      <c r="P5" s="18" t="n">
        <f aca="false">IF(E5="INR",Assumptions!$B$5,Assumptions!$B$6)</f>
        <v>0.04</v>
      </c>
      <c r="Q5" s="19" t="n">
        <f aca="false">F5*O5*(1+P5)</f>
        <v>16595.7446808511</v>
      </c>
      <c r="R5" s="19" t="n">
        <f aca="false">Q5/12</f>
        <v>1382.97872340426</v>
      </c>
      <c r="S5" s="6" t="n">
        <f aca="false">F5*(Assumptions!$B$8+N5*Assumptions!$B$7*O5)</f>
        <v>1200</v>
      </c>
    </row>
    <row r="6" customFormat="false" ht="15" hidden="false" customHeight="false" outlineLevel="0" collapsed="false">
      <c r="A6" s="8" t="n">
        <v>2</v>
      </c>
      <c r="B6" s="8" t="s">
        <v>128</v>
      </c>
      <c r="C6" s="8" t="s">
        <v>129</v>
      </c>
      <c r="D6" s="8" t="s">
        <v>130</v>
      </c>
      <c r="E6" s="16" t="s">
        <v>126</v>
      </c>
      <c r="F6" s="16" t="n">
        <v>1</v>
      </c>
      <c r="G6" s="9" t="n">
        <v>6000000</v>
      </c>
      <c r="H6" s="11" t="n">
        <v>0.7</v>
      </c>
      <c r="I6" s="17" t="n">
        <f aca="false">G6*H6</f>
        <v>4200000</v>
      </c>
      <c r="J6" s="17" t="n">
        <f aca="false">G6-I6</f>
        <v>1800000</v>
      </c>
      <c r="K6" s="16" t="n">
        <v>2</v>
      </c>
      <c r="L6" s="8" t="str">
        <f aca="false">TEXT(DATE(2026,10+K6,1),"mmm yyyy")</f>
        <v>Dec 2026</v>
      </c>
      <c r="M6" s="8" t="s">
        <v>127</v>
      </c>
      <c r="N6" s="16" t="n">
        <v>1</v>
      </c>
      <c r="O6" s="6" t="n">
        <f aca="false">IF(E6="INR",G6/Assumptions!$B$4,G6)</f>
        <v>63829.7872340426</v>
      </c>
      <c r="P6" s="18" t="n">
        <f aca="false">IF(E6="INR",Assumptions!$B$5,Assumptions!$B$6)</f>
        <v>0.04</v>
      </c>
      <c r="Q6" s="19" t="n">
        <f aca="false">F6*O6*(1+P6)</f>
        <v>66382.9787234043</v>
      </c>
      <c r="R6" s="19" t="n">
        <f aca="false">Q6/12</f>
        <v>5531.91489361702</v>
      </c>
      <c r="S6" s="6" t="n">
        <f aca="false">F6*(Assumptions!$B$8+N6*Assumptions!$B$7*O6)</f>
        <v>6517.02127659575</v>
      </c>
    </row>
    <row r="7" customFormat="false" ht="15" hidden="false" customHeight="false" outlineLevel="0" collapsed="false">
      <c r="A7" s="8" t="n">
        <v>3</v>
      </c>
      <c r="B7" s="8" t="s">
        <v>131</v>
      </c>
      <c r="C7" s="8" t="s">
        <v>132</v>
      </c>
      <c r="D7" s="8" t="s">
        <v>125</v>
      </c>
      <c r="E7" s="16" t="s">
        <v>126</v>
      </c>
      <c r="F7" s="16" t="n">
        <v>1</v>
      </c>
      <c r="G7" s="9" t="n">
        <v>2400000</v>
      </c>
      <c r="H7" s="11" t="n">
        <v>1</v>
      </c>
      <c r="I7" s="17" t="n">
        <f aca="false">G7*H7</f>
        <v>2400000</v>
      </c>
      <c r="J7" s="17" t="n">
        <f aca="false">G7-I7</f>
        <v>0</v>
      </c>
      <c r="K7" s="16" t="n">
        <v>2</v>
      </c>
      <c r="L7" s="8" t="str">
        <f aca="false">TEXT(DATE(2026,10+K7,1),"mmm yyyy")</f>
        <v>Dec 2026</v>
      </c>
      <c r="M7" s="8" t="s">
        <v>133</v>
      </c>
      <c r="N7" s="16" t="n">
        <v>0</v>
      </c>
      <c r="O7" s="6" t="n">
        <f aca="false">IF(E7="INR",G7/Assumptions!$B$4,G7)</f>
        <v>25531.914893617</v>
      </c>
      <c r="P7" s="18" t="n">
        <f aca="false">IF(E7="INR",Assumptions!$B$5,Assumptions!$B$6)</f>
        <v>0.04</v>
      </c>
      <c r="Q7" s="19" t="n">
        <f aca="false">F7*O7*(1+P7)</f>
        <v>26553.1914893617</v>
      </c>
      <c r="R7" s="19" t="n">
        <f aca="false">Q7/12</f>
        <v>2212.76595744681</v>
      </c>
      <c r="S7" s="6" t="n">
        <f aca="false">F7*(Assumptions!$B$8+N7*Assumptions!$B$7*O7)</f>
        <v>1200</v>
      </c>
    </row>
    <row r="8" customFormat="false" ht="15" hidden="false" customHeight="false" outlineLevel="0" collapsed="false">
      <c r="A8" s="8" t="n">
        <v>4</v>
      </c>
      <c r="B8" s="8" t="s">
        <v>134</v>
      </c>
      <c r="C8" s="8" t="s">
        <v>135</v>
      </c>
      <c r="D8" s="8" t="s">
        <v>136</v>
      </c>
      <c r="E8" s="16" t="s">
        <v>126</v>
      </c>
      <c r="F8" s="16" t="n">
        <v>1</v>
      </c>
      <c r="G8" s="9" t="n">
        <v>7140000</v>
      </c>
      <c r="H8" s="11" t="n">
        <v>0.7</v>
      </c>
      <c r="I8" s="17" t="n">
        <f aca="false">G8*H8</f>
        <v>4998000</v>
      </c>
      <c r="J8" s="17" t="n">
        <f aca="false">G8-I8</f>
        <v>2142000</v>
      </c>
      <c r="K8" s="16" t="n">
        <v>2</v>
      </c>
      <c r="L8" s="8" t="str">
        <f aca="false">TEXT(DATE(2026,10+K8,1),"mmm yyyy")</f>
        <v>Dec 2026</v>
      </c>
      <c r="M8" s="8" t="s">
        <v>137</v>
      </c>
      <c r="N8" s="16" t="n">
        <v>1</v>
      </c>
      <c r="O8" s="6" t="n">
        <f aca="false">IF(E8="INR",G8/Assumptions!$B$4,G8)</f>
        <v>75957.4468085106</v>
      </c>
      <c r="P8" s="18" t="n">
        <f aca="false">IF(E8="INR",Assumptions!$B$5,Assumptions!$B$6)</f>
        <v>0.04</v>
      </c>
      <c r="Q8" s="19" t="n">
        <f aca="false">F8*O8*(1+P8)</f>
        <v>78995.7446808511</v>
      </c>
      <c r="R8" s="19" t="n">
        <f aca="false">Q8/12</f>
        <v>6582.97872340426</v>
      </c>
      <c r="S8" s="6" t="n">
        <f aca="false">F8*(Assumptions!$B$8+N8*Assumptions!$B$7*O8)</f>
        <v>7527.25531914894</v>
      </c>
    </row>
    <row r="9" customFormat="false" ht="15" hidden="false" customHeight="false" outlineLevel="0" collapsed="false">
      <c r="A9" s="8" t="n">
        <v>5</v>
      </c>
      <c r="B9" s="8" t="s">
        <v>138</v>
      </c>
      <c r="C9" s="8" t="s">
        <v>135</v>
      </c>
      <c r="D9" s="8" t="s">
        <v>136</v>
      </c>
      <c r="E9" s="16" t="s">
        <v>126</v>
      </c>
      <c r="F9" s="16" t="n">
        <v>1</v>
      </c>
      <c r="G9" s="9" t="n">
        <v>1750000</v>
      </c>
      <c r="H9" s="11" t="n">
        <v>0.8</v>
      </c>
      <c r="I9" s="17" t="n">
        <f aca="false">G9*H9</f>
        <v>1400000</v>
      </c>
      <c r="J9" s="17" t="n">
        <f aca="false">G9-I9</f>
        <v>350000</v>
      </c>
      <c r="K9" s="16" t="n">
        <v>2</v>
      </c>
      <c r="L9" s="8" t="str">
        <f aca="false">TEXT(DATE(2026,10+K9,1),"mmm yyyy")</f>
        <v>Dec 2026</v>
      </c>
      <c r="M9" s="8" t="s">
        <v>139</v>
      </c>
      <c r="N9" s="16" t="n">
        <v>0</v>
      </c>
      <c r="O9" s="6" t="n">
        <f aca="false">IF(E9="INR",G9/Assumptions!$B$4,G9)</f>
        <v>18617.0212765957</v>
      </c>
      <c r="P9" s="18" t="n">
        <f aca="false">IF(E9="INR",Assumptions!$B$5,Assumptions!$B$6)</f>
        <v>0.04</v>
      </c>
      <c r="Q9" s="19" t="n">
        <f aca="false">F9*O9*(1+P9)</f>
        <v>19361.7021276596</v>
      </c>
      <c r="R9" s="19" t="n">
        <f aca="false">Q9/12</f>
        <v>1613.47517730496</v>
      </c>
      <c r="S9" s="6" t="n">
        <f aca="false">F9*(Assumptions!$B$8+N9*Assumptions!$B$7*O9)</f>
        <v>1200</v>
      </c>
    </row>
    <row r="10" customFormat="false" ht="15" hidden="false" customHeight="false" outlineLevel="0" collapsed="false">
      <c r="A10" s="8" t="n">
        <v>6</v>
      </c>
      <c r="B10" s="8" t="s">
        <v>140</v>
      </c>
      <c r="C10" s="8" t="s">
        <v>135</v>
      </c>
      <c r="D10" s="8" t="s">
        <v>141</v>
      </c>
      <c r="E10" s="16" t="s">
        <v>126</v>
      </c>
      <c r="F10" s="16" t="n">
        <v>1</v>
      </c>
      <c r="G10" s="9" t="n">
        <v>1750000</v>
      </c>
      <c r="H10" s="11" t="n">
        <v>0.8</v>
      </c>
      <c r="I10" s="17" t="n">
        <f aca="false">G10*H10</f>
        <v>1400000</v>
      </c>
      <c r="J10" s="17" t="n">
        <f aca="false">G10-I10</f>
        <v>350000</v>
      </c>
      <c r="K10" s="16" t="n">
        <v>2</v>
      </c>
      <c r="L10" s="8" t="str">
        <f aca="false">TEXT(DATE(2026,10+K10,1),"mmm yyyy")</f>
        <v>Dec 2026</v>
      </c>
      <c r="M10" s="8" t="s">
        <v>137</v>
      </c>
      <c r="N10" s="16" t="n">
        <v>0</v>
      </c>
      <c r="O10" s="6" t="n">
        <f aca="false">IF(E10="INR",G10/Assumptions!$B$4,G10)</f>
        <v>18617.0212765957</v>
      </c>
      <c r="P10" s="18" t="n">
        <f aca="false">IF(E10="INR",Assumptions!$B$5,Assumptions!$B$6)</f>
        <v>0.04</v>
      </c>
      <c r="Q10" s="19" t="n">
        <f aca="false">F10*O10*(1+P10)</f>
        <v>19361.7021276596</v>
      </c>
      <c r="R10" s="19" t="n">
        <f aca="false">Q10/12</f>
        <v>1613.47517730496</v>
      </c>
      <c r="S10" s="6" t="n">
        <f aca="false">F10*(Assumptions!$B$8+N10*Assumptions!$B$7*O10)</f>
        <v>1200</v>
      </c>
    </row>
    <row r="11" customFormat="false" ht="15" hidden="false" customHeight="false" outlineLevel="0" collapsed="false">
      <c r="A11" s="8" t="n">
        <v>7</v>
      </c>
      <c r="B11" s="8" t="s">
        <v>142</v>
      </c>
      <c r="C11" s="8" t="s">
        <v>143</v>
      </c>
      <c r="D11" s="8" t="s">
        <v>125</v>
      </c>
      <c r="E11" s="16" t="s">
        <v>126</v>
      </c>
      <c r="F11" s="16" t="n">
        <v>1</v>
      </c>
      <c r="G11" s="9" t="n">
        <v>1400000</v>
      </c>
      <c r="H11" s="11" t="n">
        <v>1</v>
      </c>
      <c r="I11" s="17" t="n">
        <f aca="false">G11*H11</f>
        <v>1400000</v>
      </c>
      <c r="J11" s="17" t="n">
        <f aca="false">G11-I11</f>
        <v>0</v>
      </c>
      <c r="K11" s="16" t="n">
        <v>2</v>
      </c>
      <c r="L11" s="8" t="str">
        <f aca="false">TEXT(DATE(2026,10+K11,1),"mmm yyyy")</f>
        <v>Dec 2026</v>
      </c>
      <c r="M11" s="8" t="s">
        <v>144</v>
      </c>
      <c r="N11" s="16" t="n">
        <v>0</v>
      </c>
      <c r="O11" s="6" t="n">
        <f aca="false">IF(E11="INR",G11/Assumptions!$B$4,G11)</f>
        <v>14893.6170212766</v>
      </c>
      <c r="P11" s="18" t="n">
        <f aca="false">IF(E11="INR",Assumptions!$B$5,Assumptions!$B$6)</f>
        <v>0.04</v>
      </c>
      <c r="Q11" s="19" t="n">
        <f aca="false">F11*O11*(1+P11)</f>
        <v>15489.3617021277</v>
      </c>
      <c r="R11" s="19" t="n">
        <f aca="false">Q11/12</f>
        <v>1290.78014184397</v>
      </c>
      <c r="S11" s="6" t="n">
        <f aca="false">F11*(Assumptions!$B$8+N11*Assumptions!$B$7*O11)</f>
        <v>1200</v>
      </c>
    </row>
    <row r="12" customFormat="false" ht="15" hidden="false" customHeight="false" outlineLevel="0" collapsed="false">
      <c r="A12" s="8" t="n">
        <v>8</v>
      </c>
      <c r="B12" s="8" t="s">
        <v>145</v>
      </c>
      <c r="C12" s="8" t="s">
        <v>146</v>
      </c>
      <c r="D12" s="8" t="s">
        <v>136</v>
      </c>
      <c r="E12" s="16" t="s">
        <v>126</v>
      </c>
      <c r="F12" s="16" t="n">
        <v>1</v>
      </c>
      <c r="G12" s="9" t="n">
        <v>5000000</v>
      </c>
      <c r="H12" s="11" t="n">
        <v>0.8</v>
      </c>
      <c r="I12" s="17" t="n">
        <f aca="false">G12*H12</f>
        <v>4000000</v>
      </c>
      <c r="J12" s="17" t="n">
        <f aca="false">G12-I12</f>
        <v>1000000</v>
      </c>
      <c r="K12" s="16" t="n">
        <v>3</v>
      </c>
      <c r="L12" s="8" t="str">
        <f aca="false">TEXT(DATE(2026,10+K12,1),"mmm yyyy")</f>
        <v>Jan 2027</v>
      </c>
      <c r="M12" s="8" t="s">
        <v>147</v>
      </c>
      <c r="N12" s="16" t="n">
        <v>1</v>
      </c>
      <c r="O12" s="6" t="n">
        <f aca="false">IF(E12="INR",G12/Assumptions!$B$4,G12)</f>
        <v>53191.4893617021</v>
      </c>
      <c r="P12" s="18" t="n">
        <f aca="false">IF(E12="INR",Assumptions!$B$5,Assumptions!$B$6)</f>
        <v>0.04</v>
      </c>
      <c r="Q12" s="19" t="n">
        <f aca="false">F12*O12*(1+P12)</f>
        <v>55319.1489361702</v>
      </c>
      <c r="R12" s="19" t="n">
        <f aca="false">Q12/12</f>
        <v>4609.92907801419</v>
      </c>
      <c r="S12" s="6" t="n">
        <f aca="false">F12*(Assumptions!$B$8+N12*Assumptions!$B$7*O12)</f>
        <v>5630.85106382979</v>
      </c>
    </row>
    <row r="13" customFormat="false" ht="15" hidden="false" customHeight="false" outlineLevel="0" collapsed="false">
      <c r="A13" s="8" t="n">
        <v>9</v>
      </c>
      <c r="B13" s="8" t="s">
        <v>148</v>
      </c>
      <c r="C13" s="8" t="s">
        <v>146</v>
      </c>
      <c r="D13" s="8" t="s">
        <v>136</v>
      </c>
      <c r="E13" s="16" t="s">
        <v>126</v>
      </c>
      <c r="F13" s="16" t="n">
        <v>1</v>
      </c>
      <c r="G13" s="9" t="n">
        <v>5000000</v>
      </c>
      <c r="H13" s="11" t="n">
        <v>0.8</v>
      </c>
      <c r="I13" s="17" t="n">
        <f aca="false">G13*H13</f>
        <v>4000000</v>
      </c>
      <c r="J13" s="17" t="n">
        <f aca="false">G13-I13</f>
        <v>1000000</v>
      </c>
      <c r="K13" s="16" t="n">
        <v>3</v>
      </c>
      <c r="L13" s="8" t="str">
        <f aca="false">TEXT(DATE(2026,10+K13,1),"mmm yyyy")</f>
        <v>Jan 2027</v>
      </c>
      <c r="M13" s="8" t="s">
        <v>149</v>
      </c>
      <c r="N13" s="16" t="n">
        <v>1</v>
      </c>
      <c r="O13" s="6" t="n">
        <f aca="false">IF(E13="INR",G13/Assumptions!$B$4,G13)</f>
        <v>53191.4893617021</v>
      </c>
      <c r="P13" s="18" t="n">
        <f aca="false">IF(E13="INR",Assumptions!$B$5,Assumptions!$B$6)</f>
        <v>0.04</v>
      </c>
      <c r="Q13" s="19" t="n">
        <f aca="false">F13*O13*(1+P13)</f>
        <v>55319.1489361702</v>
      </c>
      <c r="R13" s="19" t="n">
        <f aca="false">Q13/12</f>
        <v>4609.92907801419</v>
      </c>
      <c r="S13" s="6" t="n">
        <f aca="false">F13*(Assumptions!$B$8+N13*Assumptions!$B$7*O13)</f>
        <v>5630.85106382979</v>
      </c>
    </row>
    <row r="14" customFormat="false" ht="15" hidden="false" customHeight="false" outlineLevel="0" collapsed="false">
      <c r="A14" s="8" t="n">
        <v>10</v>
      </c>
      <c r="B14" s="8" t="s">
        <v>150</v>
      </c>
      <c r="C14" s="8" t="s">
        <v>129</v>
      </c>
      <c r="D14" s="8" t="s">
        <v>141</v>
      </c>
      <c r="E14" s="16" t="s">
        <v>126</v>
      </c>
      <c r="F14" s="16" t="n">
        <v>1</v>
      </c>
      <c r="G14" s="9" t="n">
        <v>2400000</v>
      </c>
      <c r="H14" s="11" t="n">
        <v>0.7</v>
      </c>
      <c r="I14" s="17" t="n">
        <f aca="false">G14*H14</f>
        <v>1680000</v>
      </c>
      <c r="J14" s="17" t="n">
        <f aca="false">G14-I14</f>
        <v>720000</v>
      </c>
      <c r="K14" s="16" t="n">
        <v>3</v>
      </c>
      <c r="L14" s="8" t="str">
        <f aca="false">TEXT(DATE(2026,10+K14,1),"mmm yyyy")</f>
        <v>Jan 2027</v>
      </c>
      <c r="M14" s="8" t="s">
        <v>128</v>
      </c>
      <c r="N14" s="16" t="n">
        <v>0</v>
      </c>
      <c r="O14" s="6" t="n">
        <f aca="false">IF(E14="INR",G14/Assumptions!$B$4,G14)</f>
        <v>25531.914893617</v>
      </c>
      <c r="P14" s="18" t="n">
        <f aca="false">IF(E14="INR",Assumptions!$B$5,Assumptions!$B$6)</f>
        <v>0.04</v>
      </c>
      <c r="Q14" s="19" t="n">
        <f aca="false">F14*O14*(1+P14)</f>
        <v>26553.1914893617</v>
      </c>
      <c r="R14" s="19" t="n">
        <f aca="false">Q14/12</f>
        <v>2212.76595744681</v>
      </c>
      <c r="S14" s="6" t="n">
        <f aca="false">F14*(Assumptions!$B$8+N14*Assumptions!$B$7*O14)</f>
        <v>1200</v>
      </c>
    </row>
    <row r="15" customFormat="false" ht="15" hidden="false" customHeight="false" outlineLevel="0" collapsed="false">
      <c r="A15" s="8" t="n">
        <v>11</v>
      </c>
      <c r="B15" s="8" t="s">
        <v>151</v>
      </c>
      <c r="C15" s="8" t="s">
        <v>152</v>
      </c>
      <c r="D15" s="8" t="s">
        <v>136</v>
      </c>
      <c r="E15" s="16" t="s">
        <v>126</v>
      </c>
      <c r="F15" s="16" t="n">
        <v>1</v>
      </c>
      <c r="G15" s="9" t="n">
        <v>1600000</v>
      </c>
      <c r="H15" s="11" t="n">
        <v>1</v>
      </c>
      <c r="I15" s="17" t="n">
        <f aca="false">G15*H15</f>
        <v>1600000</v>
      </c>
      <c r="J15" s="17" t="n">
        <f aca="false">G15-I15</f>
        <v>0</v>
      </c>
      <c r="K15" s="16" t="n">
        <v>3</v>
      </c>
      <c r="L15" s="8" t="str">
        <f aca="false">TEXT(DATE(2026,10+K15,1),"mmm yyyy")</f>
        <v>Jan 2027</v>
      </c>
      <c r="M15" s="8" t="s">
        <v>127</v>
      </c>
      <c r="N15" s="16" t="n">
        <v>0</v>
      </c>
      <c r="O15" s="6" t="n">
        <f aca="false">IF(E15="INR",G15/Assumptions!$B$4,G15)</f>
        <v>17021.2765957447</v>
      </c>
      <c r="P15" s="18" t="n">
        <f aca="false">IF(E15="INR",Assumptions!$B$5,Assumptions!$B$6)</f>
        <v>0.04</v>
      </c>
      <c r="Q15" s="19" t="n">
        <f aca="false">F15*O15*(1+P15)</f>
        <v>17702.1276595745</v>
      </c>
      <c r="R15" s="19" t="n">
        <f aca="false">Q15/12</f>
        <v>1475.17730496454</v>
      </c>
      <c r="S15" s="6" t="n">
        <f aca="false">F15*(Assumptions!$B$8+N15*Assumptions!$B$7*O15)</f>
        <v>1200</v>
      </c>
    </row>
    <row r="16" customFormat="false" ht="15" hidden="false" customHeight="false" outlineLevel="0" collapsed="false">
      <c r="A16" s="8" t="n">
        <v>12</v>
      </c>
      <c r="B16" s="8" t="s">
        <v>153</v>
      </c>
      <c r="C16" s="8" t="s">
        <v>135</v>
      </c>
      <c r="D16" s="8" t="s">
        <v>136</v>
      </c>
      <c r="E16" s="16" t="s">
        <v>126</v>
      </c>
      <c r="F16" s="16" t="n">
        <v>1</v>
      </c>
      <c r="G16" s="9" t="n">
        <v>2500000</v>
      </c>
      <c r="H16" s="11" t="n">
        <v>0.7</v>
      </c>
      <c r="I16" s="17" t="n">
        <f aca="false">G16*H16</f>
        <v>1750000</v>
      </c>
      <c r="J16" s="17" t="n">
        <f aca="false">G16-I16</f>
        <v>750000</v>
      </c>
      <c r="K16" s="16" t="n">
        <v>3</v>
      </c>
      <c r="L16" s="8" t="str">
        <f aca="false">TEXT(DATE(2026,10+K16,1),"mmm yyyy")</f>
        <v>Jan 2027</v>
      </c>
      <c r="M16" s="8" t="s">
        <v>154</v>
      </c>
      <c r="N16" s="16" t="n">
        <v>0</v>
      </c>
      <c r="O16" s="6" t="n">
        <f aca="false">IF(E16="INR",G16/Assumptions!$B$4,G16)</f>
        <v>26595.7446808511</v>
      </c>
      <c r="P16" s="18" t="n">
        <f aca="false">IF(E16="INR",Assumptions!$B$5,Assumptions!$B$6)</f>
        <v>0.04</v>
      </c>
      <c r="Q16" s="19" t="n">
        <f aca="false">F16*O16*(1+P16)</f>
        <v>27659.5744680851</v>
      </c>
      <c r="R16" s="19" t="n">
        <f aca="false">Q16/12</f>
        <v>2304.96453900709</v>
      </c>
      <c r="S16" s="6" t="n">
        <f aca="false">F16*(Assumptions!$B$8+N16*Assumptions!$B$7*O16)</f>
        <v>1200</v>
      </c>
    </row>
    <row r="17" customFormat="false" ht="15" hidden="false" customHeight="false" outlineLevel="0" collapsed="false">
      <c r="A17" s="8" t="n">
        <v>13</v>
      </c>
      <c r="B17" s="8" t="s">
        <v>155</v>
      </c>
      <c r="C17" s="8" t="s">
        <v>135</v>
      </c>
      <c r="D17" s="8" t="s">
        <v>156</v>
      </c>
      <c r="E17" s="16" t="s">
        <v>157</v>
      </c>
      <c r="F17" s="16" t="n">
        <v>1</v>
      </c>
      <c r="G17" s="9" t="n">
        <v>130000</v>
      </c>
      <c r="H17" s="11" t="n">
        <v>0.5</v>
      </c>
      <c r="I17" s="17" t="n">
        <f aca="false">G17*H17</f>
        <v>65000</v>
      </c>
      <c r="J17" s="17" t="n">
        <f aca="false">G17-I17</f>
        <v>65000</v>
      </c>
      <c r="K17" s="16" t="n">
        <v>3</v>
      </c>
      <c r="L17" s="8" t="str">
        <f aca="false">TEXT(DATE(2026,10+K17,1),"mmm yyyy")</f>
        <v>Jan 2027</v>
      </c>
      <c r="M17" s="8" t="s">
        <v>137</v>
      </c>
      <c r="N17" s="16" t="n">
        <v>1</v>
      </c>
      <c r="O17" s="6" t="n">
        <f aca="false">IF(E17="INR",G17/Assumptions!$B$4,G17)</f>
        <v>130000</v>
      </c>
      <c r="P17" s="18" t="n">
        <f aca="false">IF(E17="INR",Assumptions!$B$5,Assumptions!$B$6)</f>
        <v>0.12</v>
      </c>
      <c r="Q17" s="19" t="n">
        <f aca="false">F17*O17*(1+P17)</f>
        <v>145600</v>
      </c>
      <c r="R17" s="19" t="n">
        <f aca="false">Q17/12</f>
        <v>12133.3333333333</v>
      </c>
      <c r="S17" s="6" t="n">
        <f aca="false">F17*(Assumptions!$B$8+N17*Assumptions!$B$7*O17)</f>
        <v>12029</v>
      </c>
    </row>
    <row r="18" customFormat="false" ht="15" hidden="false" customHeight="false" outlineLevel="0" collapsed="false">
      <c r="A18" s="8" t="n">
        <v>14</v>
      </c>
      <c r="B18" s="8" t="s">
        <v>138</v>
      </c>
      <c r="C18" s="8" t="s">
        <v>135</v>
      </c>
      <c r="D18" s="8" t="s">
        <v>136</v>
      </c>
      <c r="E18" s="16" t="s">
        <v>126</v>
      </c>
      <c r="F18" s="16" t="n">
        <v>1</v>
      </c>
      <c r="G18" s="9" t="n">
        <v>1750000</v>
      </c>
      <c r="H18" s="11" t="n">
        <v>0.8</v>
      </c>
      <c r="I18" s="17" t="n">
        <f aca="false">G18*H18</f>
        <v>1400000</v>
      </c>
      <c r="J18" s="17" t="n">
        <f aca="false">G18-I18</f>
        <v>350000</v>
      </c>
      <c r="K18" s="16" t="n">
        <v>3</v>
      </c>
      <c r="L18" s="8" t="str">
        <f aca="false">TEXT(DATE(2026,10+K18,1),"mmm yyyy")</f>
        <v>Jan 2027</v>
      </c>
      <c r="M18" s="8" t="s">
        <v>154</v>
      </c>
      <c r="N18" s="16" t="n">
        <v>0</v>
      </c>
      <c r="O18" s="6" t="n">
        <f aca="false">IF(E18="INR",G18/Assumptions!$B$4,G18)</f>
        <v>18617.0212765957</v>
      </c>
      <c r="P18" s="18" t="n">
        <f aca="false">IF(E18="INR",Assumptions!$B$5,Assumptions!$B$6)</f>
        <v>0.04</v>
      </c>
      <c r="Q18" s="19" t="n">
        <f aca="false">F18*O18*(1+P18)</f>
        <v>19361.7021276596</v>
      </c>
      <c r="R18" s="19" t="n">
        <f aca="false">Q18/12</f>
        <v>1613.47517730496</v>
      </c>
      <c r="S18" s="6" t="n">
        <f aca="false">F18*(Assumptions!$B$8+N18*Assumptions!$B$7*O18)</f>
        <v>1200</v>
      </c>
    </row>
    <row r="19" customFormat="false" ht="15" hidden="false" customHeight="false" outlineLevel="0" collapsed="false">
      <c r="A19" s="8" t="n">
        <v>15</v>
      </c>
      <c r="B19" s="8" t="s">
        <v>140</v>
      </c>
      <c r="C19" s="8" t="s">
        <v>135</v>
      </c>
      <c r="D19" s="8" t="s">
        <v>141</v>
      </c>
      <c r="E19" s="16" t="s">
        <v>126</v>
      </c>
      <c r="F19" s="16" t="n">
        <v>1</v>
      </c>
      <c r="G19" s="9" t="n">
        <v>1750000</v>
      </c>
      <c r="H19" s="11" t="n">
        <v>0.8</v>
      </c>
      <c r="I19" s="17" t="n">
        <f aca="false">G19*H19</f>
        <v>1400000</v>
      </c>
      <c r="J19" s="17" t="n">
        <f aca="false">G19-I19</f>
        <v>350000</v>
      </c>
      <c r="K19" s="16" t="n">
        <v>3</v>
      </c>
      <c r="L19" s="8" t="str">
        <f aca="false">TEXT(DATE(2026,10+K19,1),"mmm yyyy")</f>
        <v>Jan 2027</v>
      </c>
      <c r="M19" s="8" t="s">
        <v>137</v>
      </c>
      <c r="N19" s="16" t="n">
        <v>0</v>
      </c>
      <c r="O19" s="6" t="n">
        <f aca="false">IF(E19="INR",G19/Assumptions!$B$4,G19)</f>
        <v>18617.0212765957</v>
      </c>
      <c r="P19" s="18" t="n">
        <f aca="false">IF(E19="INR",Assumptions!$B$5,Assumptions!$B$6)</f>
        <v>0.04</v>
      </c>
      <c r="Q19" s="19" t="n">
        <f aca="false">F19*O19*(1+P19)</f>
        <v>19361.7021276596</v>
      </c>
      <c r="R19" s="19" t="n">
        <f aca="false">Q19/12</f>
        <v>1613.47517730496</v>
      </c>
      <c r="S19" s="6" t="n">
        <f aca="false">F19*(Assumptions!$B$8+N19*Assumptions!$B$7*O19)</f>
        <v>1200</v>
      </c>
    </row>
    <row r="20" customFormat="false" ht="15" hidden="false" customHeight="false" outlineLevel="0" collapsed="false">
      <c r="A20" s="8" t="n">
        <v>16</v>
      </c>
      <c r="B20" s="8" t="s">
        <v>158</v>
      </c>
      <c r="C20" s="8" t="s">
        <v>143</v>
      </c>
      <c r="D20" s="8" t="s">
        <v>125</v>
      </c>
      <c r="E20" s="16" t="s">
        <v>126</v>
      </c>
      <c r="F20" s="16" t="n">
        <v>1</v>
      </c>
      <c r="G20" s="9" t="n">
        <v>3000000</v>
      </c>
      <c r="H20" s="11" t="n">
        <v>1</v>
      </c>
      <c r="I20" s="17" t="n">
        <f aca="false">G20*H20</f>
        <v>3000000</v>
      </c>
      <c r="J20" s="17" t="n">
        <f aca="false">G20-I20</f>
        <v>0</v>
      </c>
      <c r="K20" s="16" t="n">
        <v>3</v>
      </c>
      <c r="L20" s="8" t="str">
        <f aca="false">TEXT(DATE(2026,10+K20,1),"mmm yyyy")</f>
        <v>Jan 2027</v>
      </c>
      <c r="M20" s="8" t="s">
        <v>144</v>
      </c>
      <c r="N20" s="16" t="n">
        <v>1</v>
      </c>
      <c r="O20" s="6" t="n">
        <f aca="false">IF(E20="INR",G20/Assumptions!$B$4,G20)</f>
        <v>31914.8936170213</v>
      </c>
      <c r="P20" s="18" t="n">
        <f aca="false">IF(E20="INR",Assumptions!$B$5,Assumptions!$B$6)</f>
        <v>0.04</v>
      </c>
      <c r="Q20" s="19" t="n">
        <f aca="false">F20*O20*(1+P20)</f>
        <v>33191.4893617021</v>
      </c>
      <c r="R20" s="19" t="n">
        <f aca="false">Q20/12</f>
        <v>2765.95744680851</v>
      </c>
      <c r="S20" s="6" t="n">
        <f aca="false">F20*(Assumptions!$B$8+N20*Assumptions!$B$7*O20)</f>
        <v>3858.51063829787</v>
      </c>
    </row>
    <row r="21" customFormat="false" ht="15" hidden="false" customHeight="false" outlineLevel="0" collapsed="false">
      <c r="A21" s="8" t="n">
        <v>17</v>
      </c>
      <c r="B21" s="8" t="s">
        <v>159</v>
      </c>
      <c r="C21" s="8" t="s">
        <v>143</v>
      </c>
      <c r="D21" s="8" t="s">
        <v>125</v>
      </c>
      <c r="E21" s="16" t="s">
        <v>126</v>
      </c>
      <c r="F21" s="16" t="n">
        <v>1</v>
      </c>
      <c r="G21" s="9" t="n">
        <v>1800000</v>
      </c>
      <c r="H21" s="11" t="n">
        <v>1</v>
      </c>
      <c r="I21" s="17" t="n">
        <f aca="false">G21*H21</f>
        <v>1800000</v>
      </c>
      <c r="J21" s="17" t="n">
        <f aca="false">G21-I21</f>
        <v>0</v>
      </c>
      <c r="K21" s="16" t="n">
        <v>3</v>
      </c>
      <c r="L21" s="8" t="str">
        <f aca="false">TEXT(DATE(2026,10+K21,1),"mmm yyyy")</f>
        <v>Jan 2027</v>
      </c>
      <c r="M21" s="8" t="s">
        <v>144</v>
      </c>
      <c r="N21" s="16" t="n">
        <v>0</v>
      </c>
      <c r="O21" s="6" t="n">
        <f aca="false">IF(E21="INR",G21/Assumptions!$B$4,G21)</f>
        <v>19148.9361702128</v>
      </c>
      <c r="P21" s="18" t="n">
        <f aca="false">IF(E21="INR",Assumptions!$B$5,Assumptions!$B$6)</f>
        <v>0.04</v>
      </c>
      <c r="Q21" s="19" t="n">
        <f aca="false">F21*O21*(1+P21)</f>
        <v>19914.8936170213</v>
      </c>
      <c r="R21" s="19" t="n">
        <f aca="false">Q21/12</f>
        <v>1659.57446808511</v>
      </c>
      <c r="S21" s="6" t="n">
        <f aca="false">F21*(Assumptions!$B$8+N21*Assumptions!$B$7*O21)</f>
        <v>1200</v>
      </c>
    </row>
    <row r="22" customFormat="false" ht="15" hidden="false" customHeight="false" outlineLevel="0" collapsed="false">
      <c r="A22" s="8" t="n">
        <v>18</v>
      </c>
      <c r="B22" s="8" t="s">
        <v>160</v>
      </c>
      <c r="C22" s="8" t="s">
        <v>146</v>
      </c>
      <c r="D22" s="8" t="s">
        <v>141</v>
      </c>
      <c r="E22" s="16" t="s">
        <v>157</v>
      </c>
      <c r="F22" s="16" t="n">
        <v>1</v>
      </c>
      <c r="G22" s="9" t="n">
        <v>77500</v>
      </c>
      <c r="H22" s="11" t="n">
        <v>0.84</v>
      </c>
      <c r="I22" s="17" t="n">
        <f aca="false">G22*H22</f>
        <v>65100</v>
      </c>
      <c r="J22" s="17" t="n">
        <f aca="false">G22-I22</f>
        <v>12400</v>
      </c>
      <c r="K22" s="16" t="n">
        <v>4</v>
      </c>
      <c r="L22" s="8" t="str">
        <f aca="false">TEXT(DATE(2026,10+K22,1),"mmm yyyy")</f>
        <v>Feb 2027</v>
      </c>
      <c r="M22" s="8" t="s">
        <v>147</v>
      </c>
      <c r="N22" s="16" t="n">
        <v>1</v>
      </c>
      <c r="O22" s="6" t="n">
        <f aca="false">IF(E22="INR",G22/Assumptions!$B$4,G22)</f>
        <v>77500</v>
      </c>
      <c r="P22" s="18" t="n">
        <f aca="false">IF(E22="INR",Assumptions!$B$5,Assumptions!$B$6)</f>
        <v>0.12</v>
      </c>
      <c r="Q22" s="19" t="n">
        <f aca="false">F22*O22*(1+P22)</f>
        <v>86800</v>
      </c>
      <c r="R22" s="19" t="n">
        <f aca="false">Q22/12</f>
        <v>7233.33333333334</v>
      </c>
      <c r="S22" s="6" t="n">
        <f aca="false">F22*(Assumptions!$B$8+N22*Assumptions!$B$7*O22)</f>
        <v>7655.75</v>
      </c>
    </row>
    <row r="23" customFormat="false" ht="15" hidden="false" customHeight="false" outlineLevel="0" collapsed="false">
      <c r="A23" s="8" t="n">
        <v>19</v>
      </c>
      <c r="B23" s="8" t="s">
        <v>161</v>
      </c>
      <c r="C23" s="8" t="s">
        <v>146</v>
      </c>
      <c r="D23" s="8" t="s">
        <v>141</v>
      </c>
      <c r="E23" s="16" t="s">
        <v>157</v>
      </c>
      <c r="F23" s="16" t="n">
        <v>1</v>
      </c>
      <c r="G23" s="9" t="n">
        <v>77500</v>
      </c>
      <c r="H23" s="11" t="n">
        <v>0.84</v>
      </c>
      <c r="I23" s="17" t="n">
        <f aca="false">G23*H23</f>
        <v>65100</v>
      </c>
      <c r="J23" s="17" t="n">
        <f aca="false">G23-I23</f>
        <v>12400</v>
      </c>
      <c r="K23" s="16" t="n">
        <v>4</v>
      </c>
      <c r="L23" s="8" t="str">
        <f aca="false">TEXT(DATE(2026,10+K23,1),"mmm yyyy")</f>
        <v>Feb 2027</v>
      </c>
      <c r="M23" s="8" t="s">
        <v>149</v>
      </c>
      <c r="N23" s="16" t="n">
        <v>1</v>
      </c>
      <c r="O23" s="6" t="n">
        <f aca="false">IF(E23="INR",G23/Assumptions!$B$4,G23)</f>
        <v>77500</v>
      </c>
      <c r="P23" s="18" t="n">
        <f aca="false">IF(E23="INR",Assumptions!$B$5,Assumptions!$B$6)</f>
        <v>0.12</v>
      </c>
      <c r="Q23" s="19" t="n">
        <f aca="false">F23*O23*(1+P23)</f>
        <v>86800</v>
      </c>
      <c r="R23" s="19" t="n">
        <f aca="false">Q23/12</f>
        <v>7233.33333333334</v>
      </c>
      <c r="S23" s="6" t="n">
        <f aca="false">F23*(Assumptions!$B$8+N23*Assumptions!$B$7*O23)</f>
        <v>7655.75</v>
      </c>
    </row>
    <row r="24" customFormat="false" ht="15" hidden="false" customHeight="false" outlineLevel="0" collapsed="false">
      <c r="A24" s="8" t="n">
        <v>20</v>
      </c>
      <c r="B24" s="8" t="s">
        <v>153</v>
      </c>
      <c r="C24" s="8" t="s">
        <v>135</v>
      </c>
      <c r="D24" s="8" t="s">
        <v>136</v>
      </c>
      <c r="E24" s="16" t="s">
        <v>126</v>
      </c>
      <c r="F24" s="16" t="n">
        <v>1</v>
      </c>
      <c r="G24" s="9" t="n">
        <v>2500000</v>
      </c>
      <c r="H24" s="11" t="n">
        <v>0.7</v>
      </c>
      <c r="I24" s="17" t="n">
        <f aca="false">G24*H24</f>
        <v>1750000</v>
      </c>
      <c r="J24" s="17" t="n">
        <f aca="false">G24-I24</f>
        <v>750000</v>
      </c>
      <c r="K24" s="16" t="n">
        <v>4</v>
      </c>
      <c r="L24" s="8" t="str">
        <f aca="false">TEXT(DATE(2026,10+K24,1),"mmm yyyy")</f>
        <v>Feb 2027</v>
      </c>
      <c r="M24" s="8" t="s">
        <v>154</v>
      </c>
      <c r="N24" s="16" t="n">
        <v>0</v>
      </c>
      <c r="O24" s="6" t="n">
        <f aca="false">IF(E24="INR",G24/Assumptions!$B$4,G24)</f>
        <v>26595.7446808511</v>
      </c>
      <c r="P24" s="18" t="n">
        <f aca="false">IF(E24="INR",Assumptions!$B$5,Assumptions!$B$6)</f>
        <v>0.04</v>
      </c>
      <c r="Q24" s="19" t="n">
        <f aca="false">F24*O24*(1+P24)</f>
        <v>27659.5744680851</v>
      </c>
      <c r="R24" s="19" t="n">
        <f aca="false">Q24/12</f>
        <v>2304.96453900709</v>
      </c>
      <c r="S24" s="6" t="n">
        <f aca="false">F24*(Assumptions!$B$8+N24*Assumptions!$B$7*O24)</f>
        <v>1200</v>
      </c>
    </row>
    <row r="25" customFormat="false" ht="15" hidden="false" customHeight="false" outlineLevel="0" collapsed="false">
      <c r="A25" s="8" t="n">
        <v>21</v>
      </c>
      <c r="B25" s="8" t="s">
        <v>162</v>
      </c>
      <c r="C25" s="8" t="s">
        <v>129</v>
      </c>
      <c r="D25" s="8" t="s">
        <v>136</v>
      </c>
      <c r="E25" s="16" t="s">
        <v>126</v>
      </c>
      <c r="F25" s="16" t="n">
        <v>1</v>
      </c>
      <c r="G25" s="9" t="n">
        <v>2000000</v>
      </c>
      <c r="H25" s="11" t="n">
        <v>0.7</v>
      </c>
      <c r="I25" s="17" t="n">
        <f aca="false">G25*H25</f>
        <v>1400000</v>
      </c>
      <c r="J25" s="17" t="n">
        <f aca="false">G25-I25</f>
        <v>600000</v>
      </c>
      <c r="K25" s="16" t="n">
        <v>4</v>
      </c>
      <c r="L25" s="8" t="str">
        <f aca="false">TEXT(DATE(2026,10+K25,1),"mmm yyyy")</f>
        <v>Feb 2027</v>
      </c>
      <c r="M25" s="8" t="s">
        <v>128</v>
      </c>
      <c r="N25" s="16" t="n">
        <v>0</v>
      </c>
      <c r="O25" s="6" t="n">
        <f aca="false">IF(E25="INR",G25/Assumptions!$B$4,G25)</f>
        <v>21276.5957446809</v>
      </c>
      <c r="P25" s="18" t="n">
        <f aca="false">IF(E25="INR",Assumptions!$B$5,Assumptions!$B$6)</f>
        <v>0.04</v>
      </c>
      <c r="Q25" s="19" t="n">
        <f aca="false">F25*O25*(1+P25)</f>
        <v>22127.6595744681</v>
      </c>
      <c r="R25" s="19" t="n">
        <f aca="false">Q25/12</f>
        <v>1843.97163120567</v>
      </c>
      <c r="S25" s="6" t="n">
        <f aca="false">F25*(Assumptions!$B$8+N25*Assumptions!$B$7*O25)</f>
        <v>1200</v>
      </c>
    </row>
    <row r="26" customFormat="false" ht="15" hidden="false" customHeight="false" outlineLevel="0" collapsed="false">
      <c r="A26" s="8" t="n">
        <v>22</v>
      </c>
      <c r="B26" s="8" t="s">
        <v>163</v>
      </c>
      <c r="C26" s="8" t="s">
        <v>146</v>
      </c>
      <c r="D26" s="8" t="s">
        <v>136</v>
      </c>
      <c r="E26" s="16" t="s">
        <v>126</v>
      </c>
      <c r="F26" s="16" t="n">
        <v>1</v>
      </c>
      <c r="G26" s="9" t="n">
        <v>5000000</v>
      </c>
      <c r="H26" s="11" t="n">
        <v>0.8</v>
      </c>
      <c r="I26" s="17" t="n">
        <f aca="false">G26*H26</f>
        <v>4000000</v>
      </c>
      <c r="J26" s="17" t="n">
        <f aca="false">G26-I26</f>
        <v>1000000</v>
      </c>
      <c r="K26" s="16" t="n">
        <v>5</v>
      </c>
      <c r="L26" s="8" t="str">
        <f aca="false">TEXT(DATE(2026,10+K26,1),"mmm yyyy")</f>
        <v>Mar 2027</v>
      </c>
      <c r="M26" s="8" t="s">
        <v>133</v>
      </c>
      <c r="N26" s="16" t="n">
        <v>1</v>
      </c>
      <c r="O26" s="6" t="n">
        <f aca="false">IF(E26="INR",G26/Assumptions!$B$4,G26)</f>
        <v>53191.4893617021</v>
      </c>
      <c r="P26" s="18" t="n">
        <f aca="false">IF(E26="INR",Assumptions!$B$5,Assumptions!$B$6)</f>
        <v>0.04</v>
      </c>
      <c r="Q26" s="19" t="n">
        <f aca="false">F26*O26*(1+P26)</f>
        <v>55319.1489361702</v>
      </c>
      <c r="R26" s="19" t="n">
        <f aca="false">Q26/12</f>
        <v>4609.92907801419</v>
      </c>
      <c r="S26" s="6" t="n">
        <f aca="false">F26*(Assumptions!$B$8+N26*Assumptions!$B$7*O26)</f>
        <v>5630.85106382979</v>
      </c>
    </row>
    <row r="27" customFormat="false" ht="15" hidden="false" customHeight="false" outlineLevel="0" collapsed="false">
      <c r="A27" s="8" t="n">
        <v>23</v>
      </c>
      <c r="B27" s="8" t="s">
        <v>151</v>
      </c>
      <c r="C27" s="8" t="s">
        <v>152</v>
      </c>
      <c r="D27" s="8" t="s">
        <v>141</v>
      </c>
      <c r="E27" s="16" t="s">
        <v>126</v>
      </c>
      <c r="F27" s="16" t="n">
        <v>1</v>
      </c>
      <c r="G27" s="9" t="n">
        <v>1600000</v>
      </c>
      <c r="H27" s="11" t="n">
        <v>1</v>
      </c>
      <c r="I27" s="17" t="n">
        <f aca="false">G27*H27</f>
        <v>1600000</v>
      </c>
      <c r="J27" s="17" t="n">
        <f aca="false">G27-I27</f>
        <v>0</v>
      </c>
      <c r="K27" s="16" t="n">
        <v>5</v>
      </c>
      <c r="L27" s="8" t="str">
        <f aca="false">TEXT(DATE(2026,10+K27,1),"mmm yyyy")</f>
        <v>Mar 2027</v>
      </c>
      <c r="M27" s="8" t="s">
        <v>127</v>
      </c>
      <c r="N27" s="16" t="n">
        <v>0</v>
      </c>
      <c r="O27" s="6" t="n">
        <f aca="false">IF(E27="INR",G27/Assumptions!$B$4,G27)</f>
        <v>17021.2765957447</v>
      </c>
      <c r="P27" s="18" t="n">
        <f aca="false">IF(E27="INR",Assumptions!$B$5,Assumptions!$B$6)</f>
        <v>0.04</v>
      </c>
      <c r="Q27" s="19" t="n">
        <f aca="false">F27*O27*(1+P27)</f>
        <v>17702.1276595745</v>
      </c>
      <c r="R27" s="19" t="n">
        <f aca="false">Q27/12</f>
        <v>1475.17730496454</v>
      </c>
      <c r="S27" s="6" t="n">
        <f aca="false">F27*(Assumptions!$B$8+N27*Assumptions!$B$7*O27)</f>
        <v>1200</v>
      </c>
    </row>
    <row r="28" customFormat="false" ht="15" hidden="false" customHeight="false" outlineLevel="0" collapsed="false">
      <c r="A28" s="8" t="n">
        <v>24</v>
      </c>
      <c r="B28" s="8" t="s">
        <v>164</v>
      </c>
      <c r="C28" s="8" t="s">
        <v>165</v>
      </c>
      <c r="D28" s="8" t="s">
        <v>156</v>
      </c>
      <c r="E28" s="16" t="s">
        <v>157</v>
      </c>
      <c r="F28" s="16" t="n">
        <v>1</v>
      </c>
      <c r="G28" s="9" t="n">
        <v>100000</v>
      </c>
      <c r="H28" s="11" t="n">
        <v>0.8</v>
      </c>
      <c r="I28" s="17" t="n">
        <f aca="false">G28*H28</f>
        <v>80000</v>
      </c>
      <c r="J28" s="17" t="n">
        <f aca="false">G28-I28</f>
        <v>20000</v>
      </c>
      <c r="K28" s="16" t="n">
        <v>5</v>
      </c>
      <c r="L28" s="8" t="str">
        <f aca="false">TEXT(DATE(2026,10+K28,1),"mmm yyyy")</f>
        <v>Mar 2027</v>
      </c>
      <c r="M28" s="8" t="s">
        <v>166</v>
      </c>
      <c r="N28" s="16" t="n">
        <v>1</v>
      </c>
      <c r="O28" s="6" t="n">
        <f aca="false">IF(E28="INR",G28/Assumptions!$B$4,G28)</f>
        <v>100000</v>
      </c>
      <c r="P28" s="18" t="n">
        <f aca="false">IF(E28="INR",Assumptions!$B$5,Assumptions!$B$6)</f>
        <v>0.12</v>
      </c>
      <c r="Q28" s="19" t="n">
        <f aca="false">F28*O28*(1+P28)</f>
        <v>112000</v>
      </c>
      <c r="R28" s="19" t="n">
        <f aca="false">Q28/12</f>
        <v>9333.33333333333</v>
      </c>
      <c r="S28" s="6" t="n">
        <f aca="false">F28*(Assumptions!$B$8+N28*Assumptions!$B$7*O28)</f>
        <v>9530</v>
      </c>
    </row>
    <row r="29" customFormat="false" ht="15" hidden="false" customHeight="false" outlineLevel="0" collapsed="false">
      <c r="A29" s="8" t="n">
        <v>25</v>
      </c>
      <c r="B29" s="8" t="s">
        <v>167</v>
      </c>
      <c r="C29" s="8" t="s">
        <v>165</v>
      </c>
      <c r="D29" s="8" t="s">
        <v>136</v>
      </c>
      <c r="E29" s="16" t="s">
        <v>126</v>
      </c>
      <c r="F29" s="16" t="n">
        <v>1</v>
      </c>
      <c r="G29" s="9" t="n">
        <v>5500000</v>
      </c>
      <c r="H29" s="11" t="n">
        <v>0.8</v>
      </c>
      <c r="I29" s="17" t="n">
        <f aca="false">G29*H29</f>
        <v>4400000</v>
      </c>
      <c r="J29" s="17" t="n">
        <f aca="false">G29-I29</f>
        <v>1100000</v>
      </c>
      <c r="K29" s="16" t="n">
        <v>6</v>
      </c>
      <c r="L29" s="8" t="str">
        <f aca="false">TEXT(DATE(2026,10+K29,1),"mmm yyyy")</f>
        <v>Apr 2027</v>
      </c>
      <c r="M29" s="8" t="s">
        <v>166</v>
      </c>
      <c r="N29" s="16" t="n">
        <v>1</v>
      </c>
      <c r="O29" s="6" t="n">
        <f aca="false">IF(E29="INR",G29/Assumptions!$B$4,G29)</f>
        <v>58510.6382978723</v>
      </c>
      <c r="P29" s="18" t="n">
        <f aca="false">IF(E29="INR",Assumptions!$B$5,Assumptions!$B$6)</f>
        <v>0.04</v>
      </c>
      <c r="Q29" s="19" t="n">
        <f aca="false">F29*O29*(1+P29)</f>
        <v>60851.0638297872</v>
      </c>
      <c r="R29" s="19" t="n">
        <f aca="false">Q29/12</f>
        <v>5070.9219858156</v>
      </c>
      <c r="S29" s="6" t="n">
        <f aca="false">F29*(Assumptions!$B$8+N29*Assumptions!$B$7*O29)</f>
        <v>6073.93617021277</v>
      </c>
    </row>
    <row r="30" customFormat="false" ht="15" hidden="false" customHeight="false" outlineLevel="0" collapsed="false">
      <c r="A30" s="8" t="n">
        <v>26</v>
      </c>
      <c r="B30" s="8" t="s">
        <v>168</v>
      </c>
      <c r="C30" s="8" t="s">
        <v>135</v>
      </c>
      <c r="D30" s="8" t="s">
        <v>136</v>
      </c>
      <c r="E30" s="16" t="s">
        <v>126</v>
      </c>
      <c r="F30" s="16" t="n">
        <v>1</v>
      </c>
      <c r="G30" s="9" t="n">
        <v>2800000</v>
      </c>
      <c r="H30" s="11" t="n">
        <v>0.7</v>
      </c>
      <c r="I30" s="17" t="n">
        <f aca="false">G30*H30</f>
        <v>1960000</v>
      </c>
      <c r="J30" s="17" t="n">
        <f aca="false">G30-I30</f>
        <v>840000</v>
      </c>
      <c r="K30" s="16" t="n">
        <v>7</v>
      </c>
      <c r="L30" s="8" t="str">
        <f aca="false">TEXT(DATE(2026,10+K30,1),"mmm yyyy")</f>
        <v>May 2027</v>
      </c>
      <c r="M30" s="8" t="s">
        <v>137</v>
      </c>
      <c r="N30" s="16" t="n">
        <v>0</v>
      </c>
      <c r="O30" s="6" t="n">
        <f aca="false">IF(E30="INR",G30/Assumptions!$B$4,G30)</f>
        <v>29787.2340425532</v>
      </c>
      <c r="P30" s="18" t="n">
        <f aca="false">IF(E30="INR",Assumptions!$B$5,Assumptions!$B$6)</f>
        <v>0.04</v>
      </c>
      <c r="Q30" s="19" t="n">
        <f aca="false">F30*O30*(1+P30)</f>
        <v>30978.7234042553</v>
      </c>
      <c r="R30" s="19" t="n">
        <f aca="false">Q30/12</f>
        <v>2581.56028368794</v>
      </c>
      <c r="S30" s="6" t="n">
        <f aca="false">F30*(Assumptions!$B$8+N30*Assumptions!$B$7*O30)</f>
        <v>1200</v>
      </c>
    </row>
    <row r="31" customFormat="false" ht="15" hidden="false" customHeight="false" outlineLevel="0" collapsed="false">
      <c r="A31" s="2" t="n">
        <v>27</v>
      </c>
      <c r="B31" s="8" t="s">
        <v>169</v>
      </c>
      <c r="C31" s="8" t="s">
        <v>135</v>
      </c>
      <c r="D31" s="8" t="s">
        <v>156</v>
      </c>
      <c r="E31" s="16" t="s">
        <v>157</v>
      </c>
      <c r="F31" s="5" t="n">
        <f aca="false">Assumptions!B35</f>
        <v>0</v>
      </c>
      <c r="G31" s="5" t="n">
        <f aca="false">Assumptions!B37</f>
        <v>130000</v>
      </c>
      <c r="H31" s="11" t="n">
        <v>0.5</v>
      </c>
      <c r="I31" s="20" t="n">
        <f aca="false">G31*H31</f>
        <v>65000</v>
      </c>
      <c r="J31" s="20" t="n">
        <f aca="false">G31-I31</f>
        <v>65000</v>
      </c>
      <c r="K31" s="5" t="n">
        <f aca="false">Assumptions!B36</f>
        <v>3</v>
      </c>
      <c r="L31" s="2" t="str">
        <f aca="false">TEXT(DATE(2026,10+K31,1),"mmm yyyy")</f>
        <v>Jan 2027</v>
      </c>
      <c r="M31" s="8" t="s">
        <v>137</v>
      </c>
      <c r="N31" s="16" t="n">
        <v>1</v>
      </c>
      <c r="O31" s="19" t="n">
        <f aca="false">IF(E31="INR",G31/Assumptions!$B$4,G31)</f>
        <v>130000</v>
      </c>
      <c r="P31" s="21" t="n">
        <f aca="false">IF(E31="INR",Assumptions!$B$5,Assumptions!$B$6)</f>
        <v>0.12</v>
      </c>
      <c r="Q31" s="19" t="n">
        <f aca="false">F31*O31*(1+P31)</f>
        <v>0</v>
      </c>
      <c r="R31" s="19" t="n">
        <f aca="false">Q31/12</f>
        <v>0</v>
      </c>
      <c r="S31" s="19" t="n">
        <f aca="false">F31*(Assumptions!$B$8+N31*Assumptions!$B$7*O31)</f>
        <v>0</v>
      </c>
    </row>
    <row r="32" customFormat="false" ht="15" hidden="false" customHeight="false" outlineLevel="0" collapsed="false">
      <c r="A32" s="2"/>
      <c r="B32" s="4" t="s">
        <v>170</v>
      </c>
      <c r="C32" s="2"/>
      <c r="D32" s="2"/>
      <c r="E32" s="2"/>
      <c r="F32" s="4" t="n">
        <f aca="false">SUM(F5:F31)</f>
        <v>26</v>
      </c>
      <c r="G32" s="20"/>
      <c r="H32" s="21"/>
      <c r="I32" s="20"/>
      <c r="J32" s="20"/>
      <c r="K32" s="2"/>
      <c r="L32" s="2"/>
      <c r="M32" s="2"/>
      <c r="N32" s="2"/>
      <c r="O32" s="19"/>
      <c r="P32" s="21"/>
      <c r="Q32" s="22" t="n">
        <f aca="false">SUM(Q5:Q31)</f>
        <v>1162961.70212766</v>
      </c>
      <c r="R32" s="22" t="n">
        <f aca="false">SUM(R5:R31)</f>
        <v>96913.475177305</v>
      </c>
      <c r="S32" s="22" t="n">
        <f aca="false">SUM(S5:S31)</f>
        <v>95739.7765957447</v>
      </c>
    </row>
    <row r="33" customFormat="false" ht="15" hidden="false" customHeight="false" outlineLevel="0" collapsed="false">
      <c r="A33" s="2"/>
      <c r="B33" s="4" t="s">
        <v>171</v>
      </c>
      <c r="C33" s="2"/>
      <c r="D33" s="2"/>
      <c r="E33" s="2"/>
      <c r="F33" s="4" t="n">
        <f aca="false">SUM(F5:F30)</f>
        <v>26</v>
      </c>
      <c r="G33" s="20"/>
      <c r="H33" s="21"/>
      <c r="I33" s="20"/>
      <c r="J33" s="20"/>
      <c r="K33" s="2"/>
      <c r="L33" s="2"/>
      <c r="M33" s="2"/>
      <c r="N33" s="2"/>
      <c r="O33" s="19"/>
      <c r="P33" s="21"/>
      <c r="Q33" s="22" t="n">
        <f aca="false">SUM(Q5:Q30)</f>
        <v>1162961.70212766</v>
      </c>
      <c r="R33" s="22" t="n">
        <f aca="false">SUM(R5:R30)</f>
        <v>96913.475177305</v>
      </c>
      <c r="S33" s="22" t="n">
        <f aca="false">SUM(S5:S30)</f>
        <v>95739.7765957447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false" outlineLevel="0" collapsed="false">
      <c r="A35" s="2"/>
      <c r="B35" s="3" t="s">
        <v>172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false" outlineLevel="0" collapsed="false">
      <c r="A36" s="2"/>
      <c r="B36" s="3" t="s">
        <v>173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20" min="3" style="0" width="11"/>
  </cols>
  <sheetData>
    <row r="1" customFormat="false" ht="17.35" hidden="false" customHeight="false" outlineLevel="0" collapsed="false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4" t="s">
        <v>176</v>
      </c>
      <c r="B3" s="2" t="s">
        <v>177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</row>
    <row r="4" customFormat="false" ht="15" hidden="false" customHeight="false" outlineLevel="0" collapsed="false">
      <c r="A4" s="4" t="s">
        <v>178</v>
      </c>
      <c r="B4" s="2"/>
      <c r="C4" s="4" t="str">
        <f aca="false">TEXT(DATE(2026,10+C3,1),"mmm yy")</f>
        <v>Nov 26</v>
      </c>
      <c r="D4" s="4" t="str">
        <f aca="false">TEXT(DATE(2026,10+D3,1),"mmm yy")</f>
        <v>Dec 26</v>
      </c>
      <c r="E4" s="4" t="str">
        <f aca="false">TEXT(DATE(2026,10+E3,1),"mmm yy")</f>
        <v>Jan 27</v>
      </c>
      <c r="F4" s="4" t="str">
        <f aca="false">TEXT(DATE(2026,10+F3,1),"mmm yy")</f>
        <v>Feb 27</v>
      </c>
      <c r="G4" s="4" t="str">
        <f aca="false">TEXT(DATE(2026,10+G3,1),"mmm yy")</f>
        <v>Mar 27</v>
      </c>
      <c r="H4" s="4" t="str">
        <f aca="false">TEXT(DATE(2026,10+H3,1),"mmm yy")</f>
        <v>Apr 27</v>
      </c>
      <c r="I4" s="4" t="str">
        <f aca="false">TEXT(DATE(2026,10+I3,1),"mmm yy")</f>
        <v>May 27</v>
      </c>
      <c r="J4" s="4" t="str">
        <f aca="false">TEXT(DATE(2026,10+J3,1),"mmm yy")</f>
        <v>Jun 27</v>
      </c>
      <c r="K4" s="4" t="str">
        <f aca="false">TEXT(DATE(2026,10+K3,1),"mmm yy")</f>
        <v>Jul 27</v>
      </c>
      <c r="L4" s="4" t="str">
        <f aca="false">TEXT(DATE(2026,10+L3,1),"mmm yy")</f>
        <v>Aug 27</v>
      </c>
      <c r="M4" s="4" t="str">
        <f aca="false">TEXT(DATE(2026,10+M3,1),"mmm yy")</f>
        <v>Sep 27</v>
      </c>
      <c r="N4" s="4" t="str">
        <f aca="false">TEXT(DATE(2026,10+N3,1),"mmm yy")</f>
        <v>Oct 27</v>
      </c>
      <c r="O4" s="4" t="str">
        <f aca="false">TEXT(DATE(2026,10+O3,1),"mmm yy")</f>
        <v>Nov 27</v>
      </c>
      <c r="P4" s="4" t="str">
        <f aca="false">TEXT(DATE(2026,10+P3,1),"mmm yy")</f>
        <v>Dec 27</v>
      </c>
      <c r="Q4" s="4" t="str">
        <f aca="false">TEXT(DATE(2026,10+Q3,1),"mmm yy")</f>
        <v>Jan 28</v>
      </c>
      <c r="R4" s="4" t="str">
        <f aca="false">TEXT(DATE(2026,10+R3,1),"mmm yy")</f>
        <v>Feb 28</v>
      </c>
      <c r="S4" s="4" t="str">
        <f aca="false">TEXT(DATE(2026,10+S3,1),"mmm yy")</f>
        <v>Mar 28</v>
      </c>
      <c r="T4" s="4" t="str">
        <f aca="false">TEXT(DATE(2026,10+T3,1),"mmm yy")</f>
        <v>Apr 28</v>
      </c>
    </row>
    <row r="5" customFormat="false" ht="15" hidden="false" customHeight="false" outlineLevel="0" collapsed="false">
      <c r="A5" s="23" t="s">
        <v>179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15" hidden="false" customHeight="false" outlineLevel="0" collapsed="false">
      <c r="A6" s="8" t="s">
        <v>180</v>
      </c>
      <c r="B6" s="19"/>
      <c r="C6" s="19" t="n">
        <f aca="false">SUMPRODUCT(('Hiring Plan'!$K$5:$K$31&lt;=C$3)*'Hiring Plan'!$R$5:$R$31)</f>
        <v>1382.97872340426</v>
      </c>
      <c r="D6" s="19" t="n">
        <f aca="false">SUMPRODUCT(('Hiring Plan'!$K$5:$K$31&lt;=D$3)*'Hiring Plan'!$R$5:$R$31)</f>
        <v>20228.3687943262</v>
      </c>
      <c r="E6" s="19" t="n">
        <f aca="false">SUMPRODUCT(('Hiring Plan'!$K$5:$K$31&lt;=E$3)*'Hiring Plan'!$R$5:$R$31)</f>
        <v>55226.9503546099</v>
      </c>
      <c r="F6" s="19" t="n">
        <f aca="false">SUMPRODUCT(('Hiring Plan'!$K$5:$K$31&lt;=F$3)*'Hiring Plan'!$R$5:$R$31)</f>
        <v>73842.5531914894</v>
      </c>
      <c r="G6" s="19" t="n">
        <f aca="false">SUMPRODUCT(('Hiring Plan'!$K$5:$K$31&lt;=G$3)*'Hiring Plan'!$R$5:$R$31)</f>
        <v>89260.9929078014</v>
      </c>
      <c r="H6" s="19" t="n">
        <f aca="false">SUMPRODUCT(('Hiring Plan'!$K$5:$K$31&lt;=H$3)*'Hiring Plan'!$R$5:$R$31)</f>
        <v>94331.914893617</v>
      </c>
      <c r="I6" s="19" t="n">
        <f aca="false">SUMPRODUCT(('Hiring Plan'!$K$5:$K$31&lt;=I$3)*'Hiring Plan'!$R$5:$R$31)</f>
        <v>96913.475177305</v>
      </c>
      <c r="J6" s="19" t="n">
        <f aca="false">SUMPRODUCT(('Hiring Plan'!$K$5:$K$31&lt;=J$3)*'Hiring Plan'!$R$5:$R$31)</f>
        <v>96913.475177305</v>
      </c>
      <c r="K6" s="19" t="n">
        <f aca="false">SUMPRODUCT(('Hiring Plan'!$K$5:$K$31&lt;=K$3)*'Hiring Plan'!$R$5:$R$31)</f>
        <v>96913.475177305</v>
      </c>
      <c r="L6" s="19" t="n">
        <f aca="false">SUMPRODUCT(('Hiring Plan'!$K$5:$K$31&lt;=L$3)*'Hiring Plan'!$R$5:$R$31)</f>
        <v>96913.475177305</v>
      </c>
      <c r="M6" s="19" t="n">
        <f aca="false">SUMPRODUCT(('Hiring Plan'!$K$5:$K$31&lt;=M$3)*'Hiring Plan'!$R$5:$R$31)</f>
        <v>96913.475177305</v>
      </c>
      <c r="N6" s="19" t="n">
        <f aca="false">SUMPRODUCT(('Hiring Plan'!$K$5:$K$31&lt;=N$3)*'Hiring Plan'!$R$5:$R$31)</f>
        <v>96913.475177305</v>
      </c>
      <c r="O6" s="19" t="n">
        <f aca="false">SUMPRODUCT(('Hiring Plan'!$K$5:$K$31&lt;=O$3)*'Hiring Plan'!$R$5:$R$31)</f>
        <v>96913.475177305</v>
      </c>
      <c r="P6" s="19" t="n">
        <f aca="false">SUMPRODUCT(('Hiring Plan'!$K$5:$K$31&lt;=P$3)*'Hiring Plan'!$R$5:$R$31)</f>
        <v>96913.475177305</v>
      </c>
      <c r="Q6" s="19" t="n">
        <f aca="false">SUMPRODUCT(('Hiring Plan'!$K$5:$K$31&lt;=Q$3)*'Hiring Plan'!$R$5:$R$31)</f>
        <v>96913.475177305</v>
      </c>
      <c r="R6" s="19" t="n">
        <f aca="false">SUMPRODUCT(('Hiring Plan'!$K$5:$K$31&lt;=R$3)*'Hiring Plan'!$R$5:$R$31)</f>
        <v>96913.475177305</v>
      </c>
      <c r="S6" s="19" t="n">
        <f aca="false">SUMPRODUCT(('Hiring Plan'!$K$5:$K$31&lt;=S$3)*'Hiring Plan'!$R$5:$R$31)</f>
        <v>96913.475177305</v>
      </c>
      <c r="T6" s="19" t="n">
        <f aca="false">SUMPRODUCT(('Hiring Plan'!$K$5:$K$31&lt;=T$3)*'Hiring Plan'!$R$5:$R$31)</f>
        <v>96913.475177305</v>
      </c>
    </row>
    <row r="7" customFormat="false" ht="15" hidden="false" customHeight="false" outlineLevel="0" collapsed="false">
      <c r="A7" s="8" t="s">
        <v>122</v>
      </c>
      <c r="B7" s="19"/>
      <c r="C7" s="19" t="n">
        <f aca="false">SUMPRODUCT(('Hiring Plan'!$K$5:$K$31=C$3)*'Hiring Plan'!$S$5:$S$31)</f>
        <v>1200</v>
      </c>
      <c r="D7" s="19" t="n">
        <f aca="false">SUMPRODUCT(('Hiring Plan'!$K$5:$K$31=D$3)*'Hiring Plan'!$S$5:$S$31)</f>
        <v>18844.2765957447</v>
      </c>
      <c r="E7" s="19" t="n">
        <f aca="false">SUMPRODUCT(('Hiring Plan'!$K$5:$K$31=E$3)*'Hiring Plan'!$S$5:$S$31)</f>
        <v>34349.2127659575</v>
      </c>
      <c r="F7" s="19" t="n">
        <f aca="false">SUMPRODUCT(('Hiring Plan'!$K$5:$K$31=F$3)*'Hiring Plan'!$S$5:$S$31)</f>
        <v>17711.5</v>
      </c>
      <c r="G7" s="19" t="n">
        <f aca="false">SUMPRODUCT(('Hiring Plan'!$K$5:$K$31=G$3)*'Hiring Plan'!$S$5:$S$31)</f>
        <v>16360.8510638298</v>
      </c>
      <c r="H7" s="19" t="n">
        <f aca="false">SUMPRODUCT(('Hiring Plan'!$K$5:$K$31=H$3)*'Hiring Plan'!$S$5:$S$31)</f>
        <v>6073.93617021277</v>
      </c>
      <c r="I7" s="19" t="n">
        <f aca="false">SUMPRODUCT(('Hiring Plan'!$K$5:$K$31=I$3)*'Hiring Plan'!$S$5:$S$31)</f>
        <v>1200</v>
      </c>
      <c r="J7" s="19" t="n">
        <f aca="false">SUMPRODUCT(('Hiring Plan'!$K$5:$K$31=J$3)*'Hiring Plan'!$S$5:$S$31)</f>
        <v>0</v>
      </c>
      <c r="K7" s="19" t="n">
        <f aca="false">SUMPRODUCT(('Hiring Plan'!$K$5:$K$31=K$3)*'Hiring Plan'!$S$5:$S$31)</f>
        <v>0</v>
      </c>
      <c r="L7" s="19" t="n">
        <f aca="false">SUMPRODUCT(('Hiring Plan'!$K$5:$K$31=L$3)*'Hiring Plan'!$S$5:$S$31)</f>
        <v>0</v>
      </c>
      <c r="M7" s="19" t="n">
        <f aca="false">SUMPRODUCT(('Hiring Plan'!$K$5:$K$31=M$3)*'Hiring Plan'!$S$5:$S$31)</f>
        <v>0</v>
      </c>
      <c r="N7" s="19" t="n">
        <f aca="false">SUMPRODUCT(('Hiring Plan'!$K$5:$K$31=N$3)*'Hiring Plan'!$S$5:$S$31)</f>
        <v>0</v>
      </c>
      <c r="O7" s="19" t="n">
        <f aca="false">SUMPRODUCT(('Hiring Plan'!$K$5:$K$31=O$3)*'Hiring Plan'!$S$5:$S$31)</f>
        <v>0</v>
      </c>
      <c r="P7" s="19" t="n">
        <f aca="false">SUMPRODUCT(('Hiring Plan'!$K$5:$K$31=P$3)*'Hiring Plan'!$S$5:$S$31)</f>
        <v>0</v>
      </c>
      <c r="Q7" s="19" t="n">
        <f aca="false">SUMPRODUCT(('Hiring Plan'!$K$5:$K$31=Q$3)*'Hiring Plan'!$S$5:$S$31)</f>
        <v>0</v>
      </c>
      <c r="R7" s="19" t="n">
        <f aca="false">SUMPRODUCT(('Hiring Plan'!$K$5:$K$31=R$3)*'Hiring Plan'!$S$5:$S$31)</f>
        <v>0</v>
      </c>
      <c r="S7" s="19" t="n">
        <f aca="false">SUMPRODUCT(('Hiring Plan'!$K$5:$K$31=S$3)*'Hiring Plan'!$S$5:$S$31)</f>
        <v>0</v>
      </c>
      <c r="T7" s="19" t="n">
        <f aca="false">SUMPRODUCT(('Hiring Plan'!$K$5:$K$31=T$3)*'Hiring Plan'!$S$5:$S$31)</f>
        <v>0</v>
      </c>
    </row>
    <row r="8" customFormat="false" ht="15" hidden="false" customHeight="false" outlineLevel="0" collapsed="false">
      <c r="A8" s="8" t="s">
        <v>181</v>
      </c>
      <c r="B8" s="19"/>
      <c r="C8" s="19" t="n">
        <f aca="false">IF(C$3&gt;=2,Assumptions!$B$31,0)+IF(C$3&gt;=3,Assumptions!$B$32,0)+IF(C$3&gt;=4,Assumptions!$B$33,0)</f>
        <v>0</v>
      </c>
      <c r="D8" s="19" t="n">
        <f aca="false">IF(D$3&gt;=2,Assumptions!$B$31,0)+IF(D$3&gt;=3,Assumptions!$B$32,0)+IF(D$3&gt;=4,Assumptions!$B$33,0)</f>
        <v>2500</v>
      </c>
      <c r="E8" s="19" t="n">
        <f aca="false">IF(E$3&gt;=2,Assumptions!$B$31,0)+IF(E$3&gt;=3,Assumptions!$B$32,0)+IF(E$3&gt;=4,Assumptions!$B$33,0)</f>
        <v>12500</v>
      </c>
      <c r="F8" s="19" t="n">
        <f aca="false">IF(F$3&gt;=2,Assumptions!$B$31,0)+IF(F$3&gt;=3,Assumptions!$B$32,0)+IF(F$3&gt;=4,Assumptions!$B$33,0)</f>
        <v>15500</v>
      </c>
      <c r="G8" s="19" t="n">
        <f aca="false">IF(G$3&gt;=2,Assumptions!$B$31,0)+IF(G$3&gt;=3,Assumptions!$B$32,0)+IF(G$3&gt;=4,Assumptions!$B$33,0)</f>
        <v>15500</v>
      </c>
      <c r="H8" s="19" t="n">
        <f aca="false">IF(H$3&gt;=2,Assumptions!$B$31,0)+IF(H$3&gt;=3,Assumptions!$B$32,0)+IF(H$3&gt;=4,Assumptions!$B$33,0)</f>
        <v>15500</v>
      </c>
      <c r="I8" s="19" t="n">
        <f aca="false">IF(I$3&gt;=2,Assumptions!$B$31,0)+IF(I$3&gt;=3,Assumptions!$B$32,0)+IF(I$3&gt;=4,Assumptions!$B$33,0)</f>
        <v>15500</v>
      </c>
      <c r="J8" s="19" t="n">
        <f aca="false">IF(J$3&gt;=2,Assumptions!$B$31,0)+IF(J$3&gt;=3,Assumptions!$B$32,0)+IF(J$3&gt;=4,Assumptions!$B$33,0)</f>
        <v>15500</v>
      </c>
      <c r="K8" s="19" t="n">
        <f aca="false">IF(K$3&gt;=2,Assumptions!$B$31,0)+IF(K$3&gt;=3,Assumptions!$B$32,0)+IF(K$3&gt;=4,Assumptions!$B$33,0)</f>
        <v>15500</v>
      </c>
      <c r="L8" s="19" t="n">
        <f aca="false">IF(L$3&gt;=2,Assumptions!$B$31,0)+IF(L$3&gt;=3,Assumptions!$B$32,0)+IF(L$3&gt;=4,Assumptions!$B$33,0)</f>
        <v>15500</v>
      </c>
      <c r="M8" s="19" t="n">
        <f aca="false">IF(M$3&gt;=2,Assumptions!$B$31,0)+IF(M$3&gt;=3,Assumptions!$B$32,0)+IF(M$3&gt;=4,Assumptions!$B$33,0)</f>
        <v>15500</v>
      </c>
      <c r="N8" s="19" t="n">
        <f aca="false">IF(N$3&gt;=2,Assumptions!$B$31,0)+IF(N$3&gt;=3,Assumptions!$B$32,0)+IF(N$3&gt;=4,Assumptions!$B$33,0)</f>
        <v>15500</v>
      </c>
      <c r="O8" s="19" t="n">
        <f aca="false">IF(O$3&gt;=2,Assumptions!$B$31,0)+IF(O$3&gt;=3,Assumptions!$B$32,0)+IF(O$3&gt;=4,Assumptions!$B$33,0)</f>
        <v>15500</v>
      </c>
      <c r="P8" s="19" t="n">
        <f aca="false">IF(P$3&gt;=2,Assumptions!$B$31,0)+IF(P$3&gt;=3,Assumptions!$B$32,0)+IF(P$3&gt;=4,Assumptions!$B$33,0)</f>
        <v>15500</v>
      </c>
      <c r="Q8" s="19" t="n">
        <f aca="false">IF(Q$3&gt;=2,Assumptions!$B$31,0)+IF(Q$3&gt;=3,Assumptions!$B$32,0)+IF(Q$3&gt;=4,Assumptions!$B$33,0)</f>
        <v>15500</v>
      </c>
      <c r="R8" s="19" t="n">
        <f aca="false">IF(R$3&gt;=2,Assumptions!$B$31,0)+IF(R$3&gt;=3,Assumptions!$B$32,0)+IF(R$3&gt;=4,Assumptions!$B$33,0)</f>
        <v>15500</v>
      </c>
      <c r="S8" s="19" t="n">
        <f aca="false">IF(S$3&gt;=2,Assumptions!$B$31,0)+IF(S$3&gt;=3,Assumptions!$B$32,0)+IF(S$3&gt;=4,Assumptions!$B$33,0)</f>
        <v>15500</v>
      </c>
      <c r="T8" s="19" t="n">
        <f aca="false">IF(T$3&gt;=2,Assumptions!$B$31,0)+IF(T$3&gt;=3,Assumptions!$B$32,0)+IF(T$3&gt;=4,Assumptions!$B$33,0)</f>
        <v>15500</v>
      </c>
    </row>
    <row r="9" customFormat="false" ht="15" hidden="false" customHeight="false" outlineLevel="0" collapsed="false">
      <c r="A9" s="4" t="s">
        <v>182</v>
      </c>
      <c r="B9" s="19"/>
      <c r="C9" s="19" t="n">
        <f aca="false">SUM(C6:C8)</f>
        <v>2582.97872340426</v>
      </c>
      <c r="D9" s="19" t="n">
        <f aca="false">SUM(D6:D8)</f>
        <v>41572.6453900709</v>
      </c>
      <c r="E9" s="19" t="n">
        <f aca="false">SUM(E6:E8)</f>
        <v>102076.163120567</v>
      </c>
      <c r="F9" s="19" t="n">
        <f aca="false">SUM(F6:F8)</f>
        <v>107054.053191489</v>
      </c>
      <c r="G9" s="19" t="n">
        <f aca="false">SUM(G6:G8)</f>
        <v>121121.843971631</v>
      </c>
      <c r="H9" s="19" t="n">
        <f aca="false">SUM(H6:H8)</f>
        <v>115905.85106383</v>
      </c>
      <c r="I9" s="19" t="n">
        <f aca="false">SUM(I6:I8)</f>
        <v>113613.475177305</v>
      </c>
      <c r="J9" s="19" t="n">
        <f aca="false">SUM(J6:J8)</f>
        <v>112413.475177305</v>
      </c>
      <c r="K9" s="19" t="n">
        <f aca="false">SUM(K6:K8)</f>
        <v>112413.475177305</v>
      </c>
      <c r="L9" s="19" t="n">
        <f aca="false">SUM(L6:L8)</f>
        <v>112413.475177305</v>
      </c>
      <c r="M9" s="19" t="n">
        <f aca="false">SUM(M6:M8)</f>
        <v>112413.475177305</v>
      </c>
      <c r="N9" s="19" t="n">
        <f aca="false">SUM(N6:N8)</f>
        <v>112413.475177305</v>
      </c>
      <c r="O9" s="19" t="n">
        <f aca="false">SUM(O6:O8)</f>
        <v>112413.475177305</v>
      </c>
      <c r="P9" s="19" t="n">
        <f aca="false">SUM(P6:P8)</f>
        <v>112413.475177305</v>
      </c>
      <c r="Q9" s="19" t="n">
        <f aca="false">SUM(Q6:Q8)</f>
        <v>112413.475177305</v>
      </c>
      <c r="R9" s="19" t="n">
        <f aca="false">SUM(R6:R8)</f>
        <v>112413.475177305</v>
      </c>
      <c r="S9" s="19" t="n">
        <f aca="false">SUM(S6:S8)</f>
        <v>112413.475177305</v>
      </c>
      <c r="T9" s="19" t="n">
        <f aca="false">SUM(T6:T8)</f>
        <v>112413.475177305</v>
      </c>
    </row>
    <row r="10" customFormat="false" ht="15" hidden="false" customHeight="false" outlineLevel="0" collapsed="false">
      <c r="A10" s="8" t="s">
        <v>183</v>
      </c>
      <c r="B10" s="19" t="n">
        <v>0</v>
      </c>
      <c r="C10" s="19" t="n">
        <f aca="false">B10+C9</f>
        <v>2582.97872340426</v>
      </c>
      <c r="D10" s="19" t="n">
        <f aca="false">C10+D9</f>
        <v>44155.6241134752</v>
      </c>
      <c r="E10" s="19" t="n">
        <f aca="false">D10+E9</f>
        <v>146231.787234043</v>
      </c>
      <c r="F10" s="19" t="n">
        <f aca="false">E10+F9</f>
        <v>253285.840425532</v>
      </c>
      <c r="G10" s="19" t="n">
        <f aca="false">F10+G9</f>
        <v>374407.684397163</v>
      </c>
      <c r="H10" s="19" t="n">
        <f aca="false">G10+H9</f>
        <v>490313.535460993</v>
      </c>
      <c r="I10" s="19" t="n">
        <f aca="false">H10+I9</f>
        <v>603927.010638298</v>
      </c>
      <c r="J10" s="19" t="n">
        <f aca="false">I10+J9</f>
        <v>716340.485815603</v>
      </c>
      <c r="K10" s="19" t="n">
        <f aca="false">J10+K9</f>
        <v>828753.960992908</v>
      </c>
      <c r="L10" s="19" t="n">
        <f aca="false">K10+L9</f>
        <v>941167.436170213</v>
      </c>
      <c r="M10" s="19" t="n">
        <f aca="false">L10+M9</f>
        <v>1053580.91134752</v>
      </c>
      <c r="N10" s="19" t="n">
        <f aca="false">M10+N9</f>
        <v>1165994.38652482</v>
      </c>
      <c r="O10" s="19" t="n">
        <f aca="false">N10+O9</f>
        <v>1278407.86170213</v>
      </c>
      <c r="P10" s="19" t="n">
        <f aca="false">O10+P9</f>
        <v>1390821.33687943</v>
      </c>
      <c r="Q10" s="19" t="n">
        <f aca="false">P10+Q9</f>
        <v>1503234.81205674</v>
      </c>
      <c r="R10" s="19" t="n">
        <f aca="false">Q10+R9</f>
        <v>1615648.28723404</v>
      </c>
      <c r="S10" s="19" t="n">
        <f aca="false">R10+S9</f>
        <v>1728061.76241135</v>
      </c>
      <c r="T10" s="19" t="n">
        <f aca="false">S10+T9</f>
        <v>1840475.23758865</v>
      </c>
    </row>
    <row r="11" customFormat="false" ht="15" hidden="false" customHeight="false" outlineLevel="0" collapsed="false">
      <c r="A11" s="23" t="s">
        <v>15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customFormat="false" ht="15" hidden="false" customHeight="false" outlineLevel="0" collapsed="false">
      <c r="A12" s="8" t="s">
        <v>184</v>
      </c>
      <c r="B12" s="6" t="n">
        <f aca="false">Assumptions!B10</f>
        <v>450000</v>
      </c>
      <c r="C12" s="19" t="n">
        <f aca="false">B12*(1-Assumptions!$B$12)+Assumptions!$B$11</f>
        <v>455500</v>
      </c>
      <c r="D12" s="19" t="n">
        <f aca="false">C12*(1-Assumptions!$B$12)+Assumptions!$B$11</f>
        <v>460835</v>
      </c>
      <c r="E12" s="19" t="n">
        <f aca="false">D12*(1-Assumptions!$B$12)+Assumptions!$B$11</f>
        <v>466009.95</v>
      </c>
      <c r="F12" s="19" t="n">
        <f aca="false">E12*(1-Assumptions!$B$12)+Assumptions!$B$11</f>
        <v>471029.6515</v>
      </c>
      <c r="G12" s="19" t="n">
        <f aca="false">F12*(1-Assumptions!$B$12)+Assumptions!$B$11</f>
        <v>475898.761955</v>
      </c>
      <c r="H12" s="19" t="n">
        <f aca="false">G12*(1-Assumptions!$B$12)+Assumptions!$B$11</f>
        <v>480621.79909635</v>
      </c>
      <c r="I12" s="19" t="n">
        <f aca="false">H12*(1-Assumptions!$B$12)+Assumptions!$B$11</f>
        <v>485203.145123459</v>
      </c>
      <c r="J12" s="19" t="n">
        <f aca="false">I12*(1-Assumptions!$B$12)+Assumptions!$B$11</f>
        <v>489647.050769756</v>
      </c>
      <c r="K12" s="19" t="n">
        <f aca="false">J12*(1-Assumptions!$B$12)+Assumptions!$B$11</f>
        <v>493957.639246663</v>
      </c>
      <c r="L12" s="19" t="n">
        <f aca="false">K12*(1-Assumptions!$B$12)+Assumptions!$B$11</f>
        <v>498138.910069263</v>
      </c>
      <c r="M12" s="19" t="n">
        <f aca="false">L12*(1-Assumptions!$B$12)+Assumptions!$B$11</f>
        <v>502194.742767185</v>
      </c>
      <c r="N12" s="19" t="n">
        <f aca="false">M12*(1-Assumptions!$B$12)+Assumptions!$B$11</f>
        <v>506128.90048417</v>
      </c>
      <c r="O12" s="19" t="n">
        <f aca="false">N12*(1-Assumptions!$B$12)+Assumptions!$B$11</f>
        <v>509945.033469645</v>
      </c>
      <c r="P12" s="19" t="n">
        <f aca="false">O12*(1-Assumptions!$B$12)+Assumptions!$B$11</f>
        <v>513646.682465555</v>
      </c>
      <c r="Q12" s="19" t="n">
        <f aca="false">P12*(1-Assumptions!$B$12)+Assumptions!$B$11</f>
        <v>517237.281991589</v>
      </c>
      <c r="R12" s="19" t="n">
        <f aca="false">Q12*(1-Assumptions!$B$12)+Assumptions!$B$11</f>
        <v>520720.163531841</v>
      </c>
      <c r="S12" s="19" t="n">
        <f aca="false">R12*(1-Assumptions!$B$12)+Assumptions!$B$11</f>
        <v>524098.558625886</v>
      </c>
      <c r="T12" s="19" t="n">
        <f aca="false">S12*(1-Assumptions!$B$12)+Assumptions!$B$11</f>
        <v>527375.601867109</v>
      </c>
    </row>
    <row r="13" customFormat="false" ht="15" hidden="false" customHeight="false" outlineLevel="0" collapsed="false">
      <c r="A13" s="2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customFormat="false" ht="15" hidden="false" customHeight="false" outlineLevel="0" collapsed="false">
      <c r="A14" s="8" t="s">
        <v>185</v>
      </c>
      <c r="B14" s="19"/>
      <c r="C14" s="19" t="n">
        <f aca="false">Assumptions!$B$15/144*(IF(C$3-'Hiring Plan'!$K$8&lt;Assumptions!$B$19,0,MIN(1,Assumptions!$B$22*(C$3-'Hiring Plan'!$K$8-Assumptions!$B$19+1)))+IF(C$3-'Hiring Plan'!$K$16&lt;Assumptions!$B$19,0,MIN(1,Assumptions!$B$22*(C$3-'Hiring Plan'!$K$16-Assumptions!$B$19+1)))+IF(C$3-'Hiring Plan'!$K$24&lt;Assumptions!$B$19,0,MIN(1,Assumptions!$B$22*(C$3-'Hiring Plan'!$K$24-Assumptions!$B$19+1))))</f>
        <v>0</v>
      </c>
      <c r="D14" s="19" t="n">
        <f aca="false">Assumptions!$B$15/144*(IF(D$3-'Hiring Plan'!$K$8&lt;Assumptions!$B$19,0,MIN(1,Assumptions!$B$22*(D$3-'Hiring Plan'!$K$8-Assumptions!$B$19+1)))+IF(D$3-'Hiring Plan'!$K$16&lt;Assumptions!$B$19,0,MIN(1,Assumptions!$B$22*(D$3-'Hiring Plan'!$K$16-Assumptions!$B$19+1)))+IF(D$3-'Hiring Plan'!$K$24&lt;Assumptions!$B$19,0,MIN(1,Assumptions!$B$22*(D$3-'Hiring Plan'!$K$24-Assumptions!$B$19+1))))</f>
        <v>0</v>
      </c>
      <c r="E14" s="19" t="n">
        <f aca="false">Assumptions!$B$15/144*(IF(E$3-'Hiring Plan'!$K$8&lt;Assumptions!$B$19,0,MIN(1,Assumptions!$B$22*(E$3-'Hiring Plan'!$K$8-Assumptions!$B$19+1)))+IF(E$3-'Hiring Plan'!$K$16&lt;Assumptions!$B$19,0,MIN(1,Assumptions!$B$22*(E$3-'Hiring Plan'!$K$16-Assumptions!$B$19+1)))+IF(E$3-'Hiring Plan'!$K$24&lt;Assumptions!$B$19,0,MIN(1,Assumptions!$B$22*(E$3-'Hiring Plan'!$K$24-Assumptions!$B$19+1))))</f>
        <v>0</v>
      </c>
      <c r="F14" s="19" t="n">
        <f aca="false">Assumptions!$B$15/144*(IF(F$3-'Hiring Plan'!$K$8&lt;Assumptions!$B$19,0,MIN(1,Assumptions!$B$22*(F$3-'Hiring Plan'!$K$8-Assumptions!$B$19+1)))+IF(F$3-'Hiring Plan'!$K$16&lt;Assumptions!$B$19,0,MIN(1,Assumptions!$B$22*(F$3-'Hiring Plan'!$K$16-Assumptions!$B$19+1)))+IF(F$3-'Hiring Plan'!$K$24&lt;Assumptions!$B$19,0,MIN(1,Assumptions!$B$22*(F$3-'Hiring Plan'!$K$24-Assumptions!$B$19+1))))</f>
        <v>2083.33333333333</v>
      </c>
      <c r="G14" s="19" t="n">
        <f aca="false">Assumptions!$B$15/144*(IF(G$3-'Hiring Plan'!$K$8&lt;Assumptions!$B$19,0,MIN(1,Assumptions!$B$22*(G$3-'Hiring Plan'!$K$8-Assumptions!$B$19+1)))+IF(G$3-'Hiring Plan'!$K$16&lt;Assumptions!$B$19,0,MIN(1,Assumptions!$B$22*(G$3-'Hiring Plan'!$K$16-Assumptions!$B$19+1)))+IF(G$3-'Hiring Plan'!$K$24&lt;Assumptions!$B$19,0,MIN(1,Assumptions!$B$22*(G$3-'Hiring Plan'!$K$24-Assumptions!$B$19+1))))</f>
        <v>6250</v>
      </c>
      <c r="H14" s="19" t="n">
        <f aca="false">Assumptions!$B$15/144*(IF(H$3-'Hiring Plan'!$K$8&lt;Assumptions!$B$19,0,MIN(1,Assumptions!$B$22*(H$3-'Hiring Plan'!$K$8-Assumptions!$B$19+1)))+IF(H$3-'Hiring Plan'!$K$16&lt;Assumptions!$B$19,0,MIN(1,Assumptions!$B$22*(H$3-'Hiring Plan'!$K$16-Assumptions!$B$19+1)))+IF(H$3-'Hiring Plan'!$K$24&lt;Assumptions!$B$19,0,MIN(1,Assumptions!$B$22*(H$3-'Hiring Plan'!$K$24-Assumptions!$B$19+1))))</f>
        <v>12500</v>
      </c>
      <c r="I14" s="19" t="n">
        <f aca="false">Assumptions!$B$15/144*(IF(I$3-'Hiring Plan'!$K$8&lt;Assumptions!$B$19,0,MIN(1,Assumptions!$B$22*(I$3-'Hiring Plan'!$K$8-Assumptions!$B$19+1)))+IF(I$3-'Hiring Plan'!$K$16&lt;Assumptions!$B$19,0,MIN(1,Assumptions!$B$22*(I$3-'Hiring Plan'!$K$16-Assumptions!$B$19+1)))+IF(I$3-'Hiring Plan'!$K$24&lt;Assumptions!$B$19,0,MIN(1,Assumptions!$B$22*(I$3-'Hiring Plan'!$K$24-Assumptions!$B$19+1))))</f>
        <v>18750</v>
      </c>
      <c r="J14" s="19" t="n">
        <f aca="false">Assumptions!$B$15/144*(IF(J$3-'Hiring Plan'!$K$8&lt;Assumptions!$B$19,0,MIN(1,Assumptions!$B$22*(J$3-'Hiring Plan'!$K$8-Assumptions!$B$19+1)))+IF(J$3-'Hiring Plan'!$K$16&lt;Assumptions!$B$19,0,MIN(1,Assumptions!$B$22*(J$3-'Hiring Plan'!$K$16-Assumptions!$B$19+1)))+IF(J$3-'Hiring Plan'!$K$24&lt;Assumptions!$B$19,0,MIN(1,Assumptions!$B$22*(J$3-'Hiring Plan'!$K$24-Assumptions!$B$19+1))))</f>
        <v>22916.6666666667</v>
      </c>
      <c r="K14" s="19" t="n">
        <f aca="false">Assumptions!$B$15/144*(IF(K$3-'Hiring Plan'!$K$8&lt;Assumptions!$B$19,0,MIN(1,Assumptions!$B$22*(K$3-'Hiring Plan'!$K$8-Assumptions!$B$19+1)))+IF(K$3-'Hiring Plan'!$K$16&lt;Assumptions!$B$19,0,MIN(1,Assumptions!$B$22*(K$3-'Hiring Plan'!$K$16-Assumptions!$B$19+1)))+IF(K$3-'Hiring Plan'!$K$24&lt;Assumptions!$B$19,0,MIN(1,Assumptions!$B$22*(K$3-'Hiring Plan'!$K$24-Assumptions!$B$19+1))))</f>
        <v>25000</v>
      </c>
      <c r="L14" s="19" t="n">
        <f aca="false">Assumptions!$B$15/144*(IF(L$3-'Hiring Plan'!$K$8&lt;Assumptions!$B$19,0,MIN(1,Assumptions!$B$22*(L$3-'Hiring Plan'!$K$8-Assumptions!$B$19+1)))+IF(L$3-'Hiring Plan'!$K$16&lt;Assumptions!$B$19,0,MIN(1,Assumptions!$B$22*(L$3-'Hiring Plan'!$K$16-Assumptions!$B$19+1)))+IF(L$3-'Hiring Plan'!$K$24&lt;Assumptions!$B$19,0,MIN(1,Assumptions!$B$22*(L$3-'Hiring Plan'!$K$24-Assumptions!$B$19+1))))</f>
        <v>25000</v>
      </c>
      <c r="M14" s="19" t="n">
        <f aca="false">Assumptions!$B$15/144*(IF(M$3-'Hiring Plan'!$K$8&lt;Assumptions!$B$19,0,MIN(1,Assumptions!$B$22*(M$3-'Hiring Plan'!$K$8-Assumptions!$B$19+1)))+IF(M$3-'Hiring Plan'!$K$16&lt;Assumptions!$B$19,0,MIN(1,Assumptions!$B$22*(M$3-'Hiring Plan'!$K$16-Assumptions!$B$19+1)))+IF(M$3-'Hiring Plan'!$K$24&lt;Assumptions!$B$19,0,MIN(1,Assumptions!$B$22*(M$3-'Hiring Plan'!$K$24-Assumptions!$B$19+1))))</f>
        <v>25000</v>
      </c>
      <c r="N14" s="19" t="n">
        <f aca="false">Assumptions!$B$15/144*(IF(N$3-'Hiring Plan'!$K$8&lt;Assumptions!$B$19,0,MIN(1,Assumptions!$B$22*(N$3-'Hiring Plan'!$K$8-Assumptions!$B$19+1)))+IF(N$3-'Hiring Plan'!$K$16&lt;Assumptions!$B$19,0,MIN(1,Assumptions!$B$22*(N$3-'Hiring Plan'!$K$16-Assumptions!$B$19+1)))+IF(N$3-'Hiring Plan'!$K$24&lt;Assumptions!$B$19,0,MIN(1,Assumptions!$B$22*(N$3-'Hiring Plan'!$K$24-Assumptions!$B$19+1))))</f>
        <v>25000</v>
      </c>
      <c r="O14" s="19" t="n">
        <f aca="false">Assumptions!$B$15/144*(IF(O$3-'Hiring Plan'!$K$8&lt;Assumptions!$B$19,0,MIN(1,Assumptions!$B$22*(O$3-'Hiring Plan'!$K$8-Assumptions!$B$19+1)))+IF(O$3-'Hiring Plan'!$K$16&lt;Assumptions!$B$19,0,MIN(1,Assumptions!$B$22*(O$3-'Hiring Plan'!$K$16-Assumptions!$B$19+1)))+IF(O$3-'Hiring Plan'!$K$24&lt;Assumptions!$B$19,0,MIN(1,Assumptions!$B$22*(O$3-'Hiring Plan'!$K$24-Assumptions!$B$19+1))))</f>
        <v>25000</v>
      </c>
      <c r="P14" s="19" t="n">
        <f aca="false">Assumptions!$B$15/144*(IF(P$3-'Hiring Plan'!$K$8&lt;Assumptions!$B$19,0,MIN(1,Assumptions!$B$22*(P$3-'Hiring Plan'!$K$8-Assumptions!$B$19+1)))+IF(P$3-'Hiring Plan'!$K$16&lt;Assumptions!$B$19,0,MIN(1,Assumptions!$B$22*(P$3-'Hiring Plan'!$K$16-Assumptions!$B$19+1)))+IF(P$3-'Hiring Plan'!$K$24&lt;Assumptions!$B$19,0,MIN(1,Assumptions!$B$22*(P$3-'Hiring Plan'!$K$24-Assumptions!$B$19+1))))</f>
        <v>25000</v>
      </c>
      <c r="Q14" s="19" t="n">
        <f aca="false">Assumptions!$B$15/144*(IF(Q$3-'Hiring Plan'!$K$8&lt;Assumptions!$B$19,0,MIN(1,Assumptions!$B$22*(Q$3-'Hiring Plan'!$K$8-Assumptions!$B$19+1)))+IF(Q$3-'Hiring Plan'!$K$16&lt;Assumptions!$B$19,0,MIN(1,Assumptions!$B$22*(Q$3-'Hiring Plan'!$K$16-Assumptions!$B$19+1)))+IF(Q$3-'Hiring Plan'!$K$24&lt;Assumptions!$B$19,0,MIN(1,Assumptions!$B$22*(Q$3-'Hiring Plan'!$K$24-Assumptions!$B$19+1))))</f>
        <v>25000</v>
      </c>
      <c r="R14" s="19" t="n">
        <f aca="false">Assumptions!$B$15/144*(IF(R$3-'Hiring Plan'!$K$8&lt;Assumptions!$B$19,0,MIN(1,Assumptions!$B$22*(R$3-'Hiring Plan'!$K$8-Assumptions!$B$19+1)))+IF(R$3-'Hiring Plan'!$K$16&lt;Assumptions!$B$19,0,MIN(1,Assumptions!$B$22*(R$3-'Hiring Plan'!$K$16-Assumptions!$B$19+1)))+IF(R$3-'Hiring Plan'!$K$24&lt;Assumptions!$B$19,0,MIN(1,Assumptions!$B$22*(R$3-'Hiring Plan'!$K$24-Assumptions!$B$19+1))))</f>
        <v>25000</v>
      </c>
      <c r="S14" s="19" t="n">
        <f aca="false">Assumptions!$B$15/144*(IF(S$3-'Hiring Plan'!$K$8&lt;Assumptions!$B$19,0,MIN(1,Assumptions!$B$22*(S$3-'Hiring Plan'!$K$8-Assumptions!$B$19+1)))+IF(S$3-'Hiring Plan'!$K$16&lt;Assumptions!$B$19,0,MIN(1,Assumptions!$B$22*(S$3-'Hiring Plan'!$K$16-Assumptions!$B$19+1)))+IF(S$3-'Hiring Plan'!$K$24&lt;Assumptions!$B$19,0,MIN(1,Assumptions!$B$22*(S$3-'Hiring Plan'!$K$24-Assumptions!$B$19+1))))</f>
        <v>25000</v>
      </c>
      <c r="T14" s="19" t="n">
        <f aca="false">Assumptions!$B$15/144*(IF(T$3-'Hiring Plan'!$K$8&lt;Assumptions!$B$19,0,MIN(1,Assumptions!$B$22*(T$3-'Hiring Plan'!$K$8-Assumptions!$B$19+1)))+IF(T$3-'Hiring Plan'!$K$16&lt;Assumptions!$B$19,0,MIN(1,Assumptions!$B$22*(T$3-'Hiring Plan'!$K$16-Assumptions!$B$19+1)))+IF(T$3-'Hiring Plan'!$K$24&lt;Assumptions!$B$19,0,MIN(1,Assumptions!$B$22*(T$3-'Hiring Plan'!$K$24-Assumptions!$B$19+1))))</f>
        <v>25000</v>
      </c>
    </row>
    <row r="15" customFormat="false" ht="15" hidden="false" customHeight="false" outlineLevel="0" collapsed="false">
      <c r="A15" s="8" t="s">
        <v>186</v>
      </c>
      <c r="B15" s="19"/>
      <c r="C15" s="19" t="n">
        <f aca="false">Assumptions!$B$16/144*(IF(C$3-'Hiring Plan'!$K$17&lt;Assumptions!$B$20,0,MIN(1,Assumptions!$B$22*(C$3-'Hiring Plan'!$K$17-Assumptions!$B$20+1)))+Assumptions!$B$35*IF(C$3-Assumptions!$B$36&lt;Assumptions!$B$20,0,MIN(1,Assumptions!$B$22*(C$3-Assumptions!$B$36-Assumptions!$B$20+1))))</f>
        <v>0</v>
      </c>
      <c r="D15" s="19" t="n">
        <f aca="false">Assumptions!$B$16/144*(IF(D$3-'Hiring Plan'!$K$17&lt;Assumptions!$B$20,0,MIN(1,Assumptions!$B$22*(D$3-'Hiring Plan'!$K$17-Assumptions!$B$20+1)))+Assumptions!$B$35*IF(D$3-Assumptions!$B$36&lt;Assumptions!$B$20,0,MIN(1,Assumptions!$B$22*(D$3-Assumptions!$B$36-Assumptions!$B$20+1))))</f>
        <v>0</v>
      </c>
      <c r="E15" s="19" t="n">
        <f aca="false">Assumptions!$B$16/144*(IF(E$3-'Hiring Plan'!$K$17&lt;Assumptions!$B$20,0,MIN(1,Assumptions!$B$22*(E$3-'Hiring Plan'!$K$17-Assumptions!$B$20+1)))+Assumptions!$B$35*IF(E$3-Assumptions!$B$36&lt;Assumptions!$B$20,0,MIN(1,Assumptions!$B$22*(E$3-Assumptions!$B$36-Assumptions!$B$20+1))))</f>
        <v>0</v>
      </c>
      <c r="F15" s="19" t="n">
        <f aca="false">Assumptions!$B$16/144*(IF(F$3-'Hiring Plan'!$K$17&lt;Assumptions!$B$20,0,MIN(1,Assumptions!$B$22*(F$3-'Hiring Plan'!$K$17-Assumptions!$B$20+1)))+Assumptions!$B$35*IF(F$3-Assumptions!$B$36&lt;Assumptions!$B$20,0,MIN(1,Assumptions!$B$22*(F$3-Assumptions!$B$36-Assumptions!$B$20+1))))</f>
        <v>0</v>
      </c>
      <c r="G15" s="19" t="n">
        <f aca="false">Assumptions!$B$16/144*(IF(G$3-'Hiring Plan'!$K$17&lt;Assumptions!$B$20,0,MIN(1,Assumptions!$B$22*(G$3-'Hiring Plan'!$K$17-Assumptions!$B$20+1)))+Assumptions!$B$35*IF(G$3-Assumptions!$B$36&lt;Assumptions!$B$20,0,MIN(1,Assumptions!$B$22*(G$3-Assumptions!$B$36-Assumptions!$B$20+1))))</f>
        <v>0</v>
      </c>
      <c r="H15" s="19" t="n">
        <f aca="false">Assumptions!$B$16/144*(IF(H$3-'Hiring Plan'!$K$17&lt;Assumptions!$B$20,0,MIN(1,Assumptions!$B$22*(H$3-'Hiring Plan'!$K$17-Assumptions!$B$20+1)))+Assumptions!$B$35*IF(H$3-Assumptions!$B$36&lt;Assumptions!$B$20,0,MIN(1,Assumptions!$B$22*(H$3-Assumptions!$B$36-Assumptions!$B$20+1))))</f>
        <v>2083.33333333333</v>
      </c>
      <c r="I15" s="19" t="n">
        <f aca="false">Assumptions!$B$16/144*(IF(I$3-'Hiring Plan'!$K$17&lt;Assumptions!$B$20,0,MIN(1,Assumptions!$B$22*(I$3-'Hiring Plan'!$K$17-Assumptions!$B$20+1)))+Assumptions!$B$35*IF(I$3-Assumptions!$B$36&lt;Assumptions!$B$20,0,MIN(1,Assumptions!$B$22*(I$3-Assumptions!$B$36-Assumptions!$B$20+1))))</f>
        <v>4166.66666666667</v>
      </c>
      <c r="J15" s="19" t="n">
        <f aca="false">Assumptions!$B$16/144*(IF(J$3-'Hiring Plan'!$K$17&lt;Assumptions!$B$20,0,MIN(1,Assumptions!$B$22*(J$3-'Hiring Plan'!$K$17-Assumptions!$B$20+1)))+Assumptions!$B$35*IF(J$3-Assumptions!$B$36&lt;Assumptions!$B$20,0,MIN(1,Assumptions!$B$22*(J$3-Assumptions!$B$36-Assumptions!$B$20+1))))</f>
        <v>6250</v>
      </c>
      <c r="K15" s="19" t="n">
        <f aca="false">Assumptions!$B$16/144*(IF(K$3-'Hiring Plan'!$K$17&lt;Assumptions!$B$20,0,MIN(1,Assumptions!$B$22*(K$3-'Hiring Plan'!$K$17-Assumptions!$B$20+1)))+Assumptions!$B$35*IF(K$3-Assumptions!$B$36&lt;Assumptions!$B$20,0,MIN(1,Assumptions!$B$22*(K$3-Assumptions!$B$36-Assumptions!$B$20+1))))</f>
        <v>8333.33333333333</v>
      </c>
      <c r="L15" s="19" t="n">
        <f aca="false">Assumptions!$B$16/144*(IF(L$3-'Hiring Plan'!$K$17&lt;Assumptions!$B$20,0,MIN(1,Assumptions!$B$22*(L$3-'Hiring Plan'!$K$17-Assumptions!$B$20+1)))+Assumptions!$B$35*IF(L$3-Assumptions!$B$36&lt;Assumptions!$B$20,0,MIN(1,Assumptions!$B$22*(L$3-Assumptions!$B$36-Assumptions!$B$20+1))))</f>
        <v>8333.33333333333</v>
      </c>
      <c r="M15" s="19" t="n">
        <f aca="false">Assumptions!$B$16/144*(IF(M$3-'Hiring Plan'!$K$17&lt;Assumptions!$B$20,0,MIN(1,Assumptions!$B$22*(M$3-'Hiring Plan'!$K$17-Assumptions!$B$20+1)))+Assumptions!$B$35*IF(M$3-Assumptions!$B$36&lt;Assumptions!$B$20,0,MIN(1,Assumptions!$B$22*(M$3-Assumptions!$B$36-Assumptions!$B$20+1))))</f>
        <v>8333.33333333333</v>
      </c>
      <c r="N15" s="19" t="n">
        <f aca="false">Assumptions!$B$16/144*(IF(N$3-'Hiring Plan'!$K$17&lt;Assumptions!$B$20,0,MIN(1,Assumptions!$B$22*(N$3-'Hiring Plan'!$K$17-Assumptions!$B$20+1)))+Assumptions!$B$35*IF(N$3-Assumptions!$B$36&lt;Assumptions!$B$20,0,MIN(1,Assumptions!$B$22*(N$3-Assumptions!$B$36-Assumptions!$B$20+1))))</f>
        <v>8333.33333333333</v>
      </c>
      <c r="O15" s="19" t="n">
        <f aca="false">Assumptions!$B$16/144*(IF(O$3-'Hiring Plan'!$K$17&lt;Assumptions!$B$20,0,MIN(1,Assumptions!$B$22*(O$3-'Hiring Plan'!$K$17-Assumptions!$B$20+1)))+Assumptions!$B$35*IF(O$3-Assumptions!$B$36&lt;Assumptions!$B$20,0,MIN(1,Assumptions!$B$22*(O$3-Assumptions!$B$36-Assumptions!$B$20+1))))</f>
        <v>8333.33333333333</v>
      </c>
      <c r="P15" s="19" t="n">
        <f aca="false">Assumptions!$B$16/144*(IF(P$3-'Hiring Plan'!$K$17&lt;Assumptions!$B$20,0,MIN(1,Assumptions!$B$22*(P$3-'Hiring Plan'!$K$17-Assumptions!$B$20+1)))+Assumptions!$B$35*IF(P$3-Assumptions!$B$36&lt;Assumptions!$B$20,0,MIN(1,Assumptions!$B$22*(P$3-Assumptions!$B$36-Assumptions!$B$20+1))))</f>
        <v>8333.33333333333</v>
      </c>
      <c r="Q15" s="19" t="n">
        <f aca="false">Assumptions!$B$16/144*(IF(Q$3-'Hiring Plan'!$K$17&lt;Assumptions!$B$20,0,MIN(1,Assumptions!$B$22*(Q$3-'Hiring Plan'!$K$17-Assumptions!$B$20+1)))+Assumptions!$B$35*IF(Q$3-Assumptions!$B$36&lt;Assumptions!$B$20,0,MIN(1,Assumptions!$B$22*(Q$3-Assumptions!$B$36-Assumptions!$B$20+1))))</f>
        <v>8333.33333333333</v>
      </c>
      <c r="R15" s="19" t="n">
        <f aca="false">Assumptions!$B$16/144*(IF(R$3-'Hiring Plan'!$K$17&lt;Assumptions!$B$20,0,MIN(1,Assumptions!$B$22*(R$3-'Hiring Plan'!$K$17-Assumptions!$B$20+1)))+Assumptions!$B$35*IF(R$3-Assumptions!$B$36&lt;Assumptions!$B$20,0,MIN(1,Assumptions!$B$22*(R$3-Assumptions!$B$36-Assumptions!$B$20+1))))</f>
        <v>8333.33333333333</v>
      </c>
      <c r="S15" s="19" t="n">
        <f aca="false">Assumptions!$B$16/144*(IF(S$3-'Hiring Plan'!$K$17&lt;Assumptions!$B$20,0,MIN(1,Assumptions!$B$22*(S$3-'Hiring Plan'!$K$17-Assumptions!$B$20+1)))+Assumptions!$B$35*IF(S$3-Assumptions!$B$36&lt;Assumptions!$B$20,0,MIN(1,Assumptions!$B$22*(S$3-Assumptions!$B$36-Assumptions!$B$20+1))))</f>
        <v>8333.33333333333</v>
      </c>
      <c r="T15" s="19" t="n">
        <f aca="false">Assumptions!$B$16/144*(IF(T$3-'Hiring Plan'!$K$17&lt;Assumptions!$B$20,0,MIN(1,Assumptions!$B$22*(T$3-'Hiring Plan'!$K$17-Assumptions!$B$20+1)))+Assumptions!$B$35*IF(T$3-Assumptions!$B$36&lt;Assumptions!$B$20,0,MIN(1,Assumptions!$B$22*(T$3-Assumptions!$B$36-Assumptions!$B$20+1))))</f>
        <v>8333.33333333333</v>
      </c>
    </row>
    <row r="16" customFormat="false" ht="15" hidden="false" customHeight="false" outlineLevel="0" collapsed="false">
      <c r="A16" s="8" t="s">
        <v>187</v>
      </c>
      <c r="B16" s="19"/>
      <c r="C16" s="19" t="n">
        <f aca="false">Assumptions!$B$17/144*IF(C$3-'Hiring Plan'!$K$10&lt;Assumptions!$B$19,0,MIN(1,Assumptions!$B$22*(C$3-'Hiring Plan'!$K$10-Assumptions!$B$19+1)))</f>
        <v>0</v>
      </c>
      <c r="D16" s="19" t="n">
        <f aca="false">Assumptions!$B$17/144*IF(D$3-'Hiring Plan'!$K$10&lt;Assumptions!$B$19,0,MIN(1,Assumptions!$B$22*(D$3-'Hiring Plan'!$K$10-Assumptions!$B$19+1)))</f>
        <v>0</v>
      </c>
      <c r="E16" s="19" t="n">
        <f aca="false">Assumptions!$B$17/144*IF(E$3-'Hiring Plan'!$K$10&lt;Assumptions!$B$19,0,MIN(1,Assumptions!$B$22*(E$3-'Hiring Plan'!$K$10-Assumptions!$B$19+1)))</f>
        <v>0</v>
      </c>
      <c r="F16" s="19" t="n">
        <f aca="false">Assumptions!$B$17/144*IF(F$3-'Hiring Plan'!$K$10&lt;Assumptions!$B$19,0,MIN(1,Assumptions!$B$22*(F$3-'Hiring Plan'!$K$10-Assumptions!$B$19+1)))</f>
        <v>1041.66666666667</v>
      </c>
      <c r="G16" s="19" t="n">
        <f aca="false">Assumptions!$B$17/144*IF(G$3-'Hiring Plan'!$K$10&lt;Assumptions!$B$19,0,MIN(1,Assumptions!$B$22*(G$3-'Hiring Plan'!$K$10-Assumptions!$B$19+1)))</f>
        <v>2083.33333333333</v>
      </c>
      <c r="H16" s="19" t="n">
        <f aca="false">Assumptions!$B$17/144*IF(H$3-'Hiring Plan'!$K$10&lt;Assumptions!$B$19,0,MIN(1,Assumptions!$B$22*(H$3-'Hiring Plan'!$K$10-Assumptions!$B$19+1)))</f>
        <v>3125</v>
      </c>
      <c r="I16" s="19" t="n">
        <f aca="false">Assumptions!$B$17/144*IF(I$3-'Hiring Plan'!$K$10&lt;Assumptions!$B$19,0,MIN(1,Assumptions!$B$22*(I$3-'Hiring Plan'!$K$10-Assumptions!$B$19+1)))</f>
        <v>4166.66666666667</v>
      </c>
      <c r="J16" s="19" t="n">
        <f aca="false">Assumptions!$B$17/144*IF(J$3-'Hiring Plan'!$K$10&lt;Assumptions!$B$19,0,MIN(1,Assumptions!$B$22*(J$3-'Hiring Plan'!$K$10-Assumptions!$B$19+1)))</f>
        <v>4166.66666666667</v>
      </c>
      <c r="K16" s="19" t="n">
        <f aca="false">Assumptions!$B$17/144*IF(K$3-'Hiring Plan'!$K$10&lt;Assumptions!$B$19,0,MIN(1,Assumptions!$B$22*(K$3-'Hiring Plan'!$K$10-Assumptions!$B$19+1)))</f>
        <v>4166.66666666667</v>
      </c>
      <c r="L16" s="19" t="n">
        <f aca="false">Assumptions!$B$17/144*IF(L$3-'Hiring Plan'!$K$10&lt;Assumptions!$B$19,0,MIN(1,Assumptions!$B$22*(L$3-'Hiring Plan'!$K$10-Assumptions!$B$19+1)))</f>
        <v>4166.66666666667</v>
      </c>
      <c r="M16" s="19" t="n">
        <f aca="false">Assumptions!$B$17/144*IF(M$3-'Hiring Plan'!$K$10&lt;Assumptions!$B$19,0,MIN(1,Assumptions!$B$22*(M$3-'Hiring Plan'!$K$10-Assumptions!$B$19+1)))</f>
        <v>4166.66666666667</v>
      </c>
      <c r="N16" s="19" t="n">
        <f aca="false">Assumptions!$B$17/144*IF(N$3-'Hiring Plan'!$K$10&lt;Assumptions!$B$19,0,MIN(1,Assumptions!$B$22*(N$3-'Hiring Plan'!$K$10-Assumptions!$B$19+1)))</f>
        <v>4166.66666666667</v>
      </c>
      <c r="O16" s="19" t="n">
        <f aca="false">Assumptions!$B$17/144*IF(O$3-'Hiring Plan'!$K$10&lt;Assumptions!$B$19,0,MIN(1,Assumptions!$B$22*(O$3-'Hiring Plan'!$K$10-Assumptions!$B$19+1)))</f>
        <v>4166.66666666667</v>
      </c>
      <c r="P16" s="19" t="n">
        <f aca="false">Assumptions!$B$17/144*IF(P$3-'Hiring Plan'!$K$10&lt;Assumptions!$B$19,0,MIN(1,Assumptions!$B$22*(P$3-'Hiring Plan'!$K$10-Assumptions!$B$19+1)))</f>
        <v>4166.66666666667</v>
      </c>
      <c r="Q16" s="19" t="n">
        <f aca="false">Assumptions!$B$17/144*IF(Q$3-'Hiring Plan'!$K$10&lt;Assumptions!$B$19,0,MIN(1,Assumptions!$B$22*(Q$3-'Hiring Plan'!$K$10-Assumptions!$B$19+1)))</f>
        <v>4166.66666666667</v>
      </c>
      <c r="R16" s="19" t="n">
        <f aca="false">Assumptions!$B$17/144*IF(R$3-'Hiring Plan'!$K$10&lt;Assumptions!$B$19,0,MIN(1,Assumptions!$B$22*(R$3-'Hiring Plan'!$K$10-Assumptions!$B$19+1)))</f>
        <v>4166.66666666667</v>
      </c>
      <c r="S16" s="19" t="n">
        <f aca="false">Assumptions!$B$17/144*IF(S$3-'Hiring Plan'!$K$10&lt;Assumptions!$B$19,0,MIN(1,Assumptions!$B$22*(S$3-'Hiring Plan'!$K$10-Assumptions!$B$19+1)))</f>
        <v>4166.66666666667</v>
      </c>
      <c r="T16" s="19" t="n">
        <f aca="false">Assumptions!$B$17/144*IF(T$3-'Hiring Plan'!$K$10&lt;Assumptions!$B$19,0,MIN(1,Assumptions!$B$22*(T$3-'Hiring Plan'!$K$10-Assumptions!$B$19+1)))</f>
        <v>4166.66666666667</v>
      </c>
    </row>
    <row r="17" customFormat="false" ht="15" hidden="false" customHeight="false" outlineLevel="0" collapsed="false">
      <c r="A17" s="8" t="s">
        <v>188</v>
      </c>
      <c r="B17" s="19"/>
      <c r="C17" s="19" t="n">
        <f aca="false">Assumptions!$B$18/144*IF(C$3-'Hiring Plan'!$K$30&lt;Assumptions!$B$21,0,MIN(1,Assumptions!$B$22*(C$3-'Hiring Plan'!$K$30-Assumptions!$B$21+1)))</f>
        <v>0</v>
      </c>
      <c r="D17" s="19" t="n">
        <f aca="false">Assumptions!$B$18/144*IF(D$3-'Hiring Plan'!$K$30&lt;Assumptions!$B$21,0,MIN(1,Assumptions!$B$22*(D$3-'Hiring Plan'!$K$30-Assumptions!$B$21+1)))</f>
        <v>0</v>
      </c>
      <c r="E17" s="19" t="n">
        <f aca="false">Assumptions!$B$18/144*IF(E$3-'Hiring Plan'!$K$30&lt;Assumptions!$B$21,0,MIN(1,Assumptions!$B$22*(E$3-'Hiring Plan'!$K$30-Assumptions!$B$21+1)))</f>
        <v>0</v>
      </c>
      <c r="F17" s="19" t="n">
        <f aca="false">Assumptions!$B$18/144*IF(F$3-'Hiring Plan'!$K$30&lt;Assumptions!$B$21,0,MIN(1,Assumptions!$B$22*(F$3-'Hiring Plan'!$K$30-Assumptions!$B$21+1)))</f>
        <v>0</v>
      </c>
      <c r="G17" s="19" t="n">
        <f aca="false">Assumptions!$B$18/144*IF(G$3-'Hiring Plan'!$K$30&lt;Assumptions!$B$21,0,MIN(1,Assumptions!$B$22*(G$3-'Hiring Plan'!$K$30-Assumptions!$B$21+1)))</f>
        <v>0</v>
      </c>
      <c r="H17" s="19" t="n">
        <f aca="false">Assumptions!$B$18/144*IF(H$3-'Hiring Plan'!$K$30&lt;Assumptions!$B$21,0,MIN(1,Assumptions!$B$22*(H$3-'Hiring Plan'!$K$30-Assumptions!$B$21+1)))</f>
        <v>0</v>
      </c>
      <c r="I17" s="19" t="n">
        <f aca="false">Assumptions!$B$18/144*IF(I$3-'Hiring Plan'!$K$30&lt;Assumptions!$B$21,0,MIN(1,Assumptions!$B$22*(I$3-'Hiring Plan'!$K$30-Assumptions!$B$21+1)))</f>
        <v>0</v>
      </c>
      <c r="J17" s="19" t="n">
        <f aca="false">Assumptions!$B$18/144*IF(J$3-'Hiring Plan'!$K$30&lt;Assumptions!$B$21,0,MIN(1,Assumptions!$B$22*(J$3-'Hiring Plan'!$K$30-Assumptions!$B$21+1)))</f>
        <v>0</v>
      </c>
      <c r="K17" s="19" t="n">
        <f aca="false">Assumptions!$B$18/144*IF(K$3-'Hiring Plan'!$K$30&lt;Assumptions!$B$21,0,MIN(1,Assumptions!$B$22*(K$3-'Hiring Plan'!$K$30-Assumptions!$B$21+1)))</f>
        <v>0</v>
      </c>
      <c r="L17" s="19" t="n">
        <f aca="false">Assumptions!$B$18/144*IF(L$3-'Hiring Plan'!$K$30&lt;Assumptions!$B$21,0,MIN(1,Assumptions!$B$22*(L$3-'Hiring Plan'!$K$30-Assumptions!$B$21+1)))</f>
        <v>868.055555555556</v>
      </c>
      <c r="M17" s="19" t="n">
        <f aca="false">Assumptions!$B$18/144*IF(M$3-'Hiring Plan'!$K$30&lt;Assumptions!$B$21,0,MIN(1,Assumptions!$B$22*(M$3-'Hiring Plan'!$K$30-Assumptions!$B$21+1)))</f>
        <v>1736.11111111111</v>
      </c>
      <c r="N17" s="19" t="n">
        <f aca="false">Assumptions!$B$18/144*IF(N$3-'Hiring Plan'!$K$30&lt;Assumptions!$B$21,0,MIN(1,Assumptions!$B$22*(N$3-'Hiring Plan'!$K$30-Assumptions!$B$21+1)))</f>
        <v>2604.16666666667</v>
      </c>
      <c r="O17" s="19" t="n">
        <f aca="false">Assumptions!$B$18/144*IF(O$3-'Hiring Plan'!$K$30&lt;Assumptions!$B$21,0,MIN(1,Assumptions!$B$22*(O$3-'Hiring Plan'!$K$30-Assumptions!$B$21+1)))</f>
        <v>3472.22222222222</v>
      </c>
      <c r="P17" s="19" t="n">
        <f aca="false">Assumptions!$B$18/144*IF(P$3-'Hiring Plan'!$K$30&lt;Assumptions!$B$21,0,MIN(1,Assumptions!$B$22*(P$3-'Hiring Plan'!$K$30-Assumptions!$B$21+1)))</f>
        <v>3472.22222222222</v>
      </c>
      <c r="Q17" s="19" t="n">
        <f aca="false">Assumptions!$B$18/144*IF(Q$3-'Hiring Plan'!$K$30&lt;Assumptions!$B$21,0,MIN(1,Assumptions!$B$22*(Q$3-'Hiring Plan'!$K$30-Assumptions!$B$21+1)))</f>
        <v>3472.22222222222</v>
      </c>
      <c r="R17" s="19" t="n">
        <f aca="false">Assumptions!$B$18/144*IF(R$3-'Hiring Plan'!$K$30&lt;Assumptions!$B$21,0,MIN(1,Assumptions!$B$22*(R$3-'Hiring Plan'!$K$30-Assumptions!$B$21+1)))</f>
        <v>3472.22222222222</v>
      </c>
      <c r="S17" s="19" t="n">
        <f aca="false">Assumptions!$B$18/144*IF(S$3-'Hiring Plan'!$K$30&lt;Assumptions!$B$21,0,MIN(1,Assumptions!$B$22*(S$3-'Hiring Plan'!$K$30-Assumptions!$B$21+1)))</f>
        <v>3472.22222222222</v>
      </c>
      <c r="T17" s="19" t="n">
        <f aca="false">Assumptions!$B$18/144*IF(T$3-'Hiring Plan'!$K$30&lt;Assumptions!$B$21,0,MIN(1,Assumptions!$B$22*(T$3-'Hiring Plan'!$K$30-Assumptions!$B$21+1)))</f>
        <v>3472.22222222222</v>
      </c>
    </row>
    <row r="18" customFormat="false" ht="15" hidden="false" customHeight="false" outlineLevel="0" collapsed="false">
      <c r="A18" s="8" t="s">
        <v>189</v>
      </c>
      <c r="B18" s="19"/>
      <c r="C18" s="19" t="n">
        <f aca="false">Assumptions!$B$24*IF(C$3-'Hiring Plan'!$K$6&lt;Assumptions!$B$26,0,IF(C$3-'Hiring Plan'!$K$6=Assumptions!$B$26,0.5,1))</f>
        <v>0</v>
      </c>
      <c r="D18" s="19" t="n">
        <f aca="false">Assumptions!$B$24*IF(D$3-'Hiring Plan'!$K$6&lt;Assumptions!$B$26,0,IF(D$3-'Hiring Plan'!$K$6=Assumptions!$B$26,0.5,1))</f>
        <v>0</v>
      </c>
      <c r="E18" s="19" t="n">
        <f aca="false">Assumptions!$B$24*IF(E$3-'Hiring Plan'!$K$6&lt;Assumptions!$B$26,0,IF(E$3-'Hiring Plan'!$K$6=Assumptions!$B$26,0.5,1))</f>
        <v>0</v>
      </c>
      <c r="F18" s="19" t="n">
        <f aca="false">Assumptions!$B$24*IF(F$3-'Hiring Plan'!$K$6&lt;Assumptions!$B$26,0,IF(F$3-'Hiring Plan'!$K$6=Assumptions!$B$26,0.5,1))</f>
        <v>2500</v>
      </c>
      <c r="G18" s="19" t="n">
        <f aca="false">Assumptions!$B$24*IF(G$3-'Hiring Plan'!$K$6&lt;Assumptions!$B$26,0,IF(G$3-'Hiring Plan'!$K$6=Assumptions!$B$26,0.5,1))</f>
        <v>5000</v>
      </c>
      <c r="H18" s="19" t="n">
        <f aca="false">Assumptions!$B$24*IF(H$3-'Hiring Plan'!$K$6&lt;Assumptions!$B$26,0,IF(H$3-'Hiring Plan'!$K$6=Assumptions!$B$26,0.5,1))</f>
        <v>5000</v>
      </c>
      <c r="I18" s="19" t="n">
        <f aca="false">Assumptions!$B$24*IF(I$3-'Hiring Plan'!$K$6&lt;Assumptions!$B$26,0,IF(I$3-'Hiring Plan'!$K$6=Assumptions!$B$26,0.5,1))</f>
        <v>5000</v>
      </c>
      <c r="J18" s="19" t="n">
        <f aca="false">Assumptions!$B$24*IF(J$3-'Hiring Plan'!$K$6&lt;Assumptions!$B$26,0,IF(J$3-'Hiring Plan'!$K$6=Assumptions!$B$26,0.5,1))</f>
        <v>5000</v>
      </c>
      <c r="K18" s="19" t="n">
        <f aca="false">Assumptions!$B$24*IF(K$3-'Hiring Plan'!$K$6&lt;Assumptions!$B$26,0,IF(K$3-'Hiring Plan'!$K$6=Assumptions!$B$26,0.5,1))</f>
        <v>5000</v>
      </c>
      <c r="L18" s="19" t="n">
        <f aca="false">Assumptions!$B$24*IF(L$3-'Hiring Plan'!$K$6&lt;Assumptions!$B$26,0,IF(L$3-'Hiring Plan'!$K$6=Assumptions!$B$26,0.5,1))</f>
        <v>5000</v>
      </c>
      <c r="M18" s="19" t="n">
        <f aca="false">Assumptions!$B$24*IF(M$3-'Hiring Plan'!$K$6&lt;Assumptions!$B$26,0,IF(M$3-'Hiring Plan'!$K$6=Assumptions!$B$26,0.5,1))</f>
        <v>5000</v>
      </c>
      <c r="N18" s="19" t="n">
        <f aca="false">Assumptions!$B$24*IF(N$3-'Hiring Plan'!$K$6&lt;Assumptions!$B$26,0,IF(N$3-'Hiring Plan'!$K$6=Assumptions!$B$26,0.5,1))</f>
        <v>5000</v>
      </c>
      <c r="O18" s="19" t="n">
        <f aca="false">Assumptions!$B$24*IF(O$3-'Hiring Plan'!$K$6&lt;Assumptions!$B$26,0,IF(O$3-'Hiring Plan'!$K$6=Assumptions!$B$26,0.5,1))</f>
        <v>5000</v>
      </c>
      <c r="P18" s="19" t="n">
        <f aca="false">Assumptions!$B$24*IF(P$3-'Hiring Plan'!$K$6&lt;Assumptions!$B$26,0,IF(P$3-'Hiring Plan'!$K$6=Assumptions!$B$26,0.5,1))</f>
        <v>5000</v>
      </c>
      <c r="Q18" s="19" t="n">
        <f aca="false">Assumptions!$B$24*IF(Q$3-'Hiring Plan'!$K$6&lt;Assumptions!$B$26,0,IF(Q$3-'Hiring Plan'!$K$6=Assumptions!$B$26,0.5,1))</f>
        <v>5000</v>
      </c>
      <c r="R18" s="19" t="n">
        <f aca="false">Assumptions!$B$24*IF(R$3-'Hiring Plan'!$K$6&lt;Assumptions!$B$26,0,IF(R$3-'Hiring Plan'!$K$6=Assumptions!$B$26,0.5,1))</f>
        <v>5000</v>
      </c>
      <c r="S18" s="19" t="n">
        <f aca="false">Assumptions!$B$24*IF(S$3-'Hiring Plan'!$K$6&lt;Assumptions!$B$26,0,IF(S$3-'Hiring Plan'!$K$6=Assumptions!$B$26,0.5,1))</f>
        <v>5000</v>
      </c>
      <c r="T18" s="19" t="n">
        <f aca="false">Assumptions!$B$24*IF(T$3-'Hiring Plan'!$K$6&lt;Assumptions!$B$26,0,IF(T$3-'Hiring Plan'!$K$6=Assumptions!$B$26,0.5,1))</f>
        <v>5000</v>
      </c>
    </row>
    <row r="19" customFormat="false" ht="15" hidden="false" customHeight="false" outlineLevel="0" collapsed="false">
      <c r="A19" s="8" t="s">
        <v>190</v>
      </c>
      <c r="B19" s="19"/>
      <c r="C19" s="19" t="n">
        <f aca="false">Assumptions!$B$25*(IF(C$3-'Hiring Plan'!$K$28&lt;Assumptions!$B$26,0,IF(C$3-'Hiring Plan'!$K$28=Assumptions!$B$26,0.5,1))+IF(C$3-'Hiring Plan'!$K$29&lt;Assumptions!$B$26,0,IF(C$3-'Hiring Plan'!$K$29=Assumptions!$B$26,0.5,1)))</f>
        <v>0</v>
      </c>
      <c r="D19" s="19" t="n">
        <f aca="false">Assumptions!$B$25*(IF(D$3-'Hiring Plan'!$K$28&lt;Assumptions!$B$26,0,IF(D$3-'Hiring Plan'!$K$28=Assumptions!$B$26,0.5,1))+IF(D$3-'Hiring Plan'!$K$29&lt;Assumptions!$B$26,0,IF(D$3-'Hiring Plan'!$K$29=Assumptions!$B$26,0.5,1)))</f>
        <v>0</v>
      </c>
      <c r="E19" s="19" t="n">
        <f aca="false">Assumptions!$B$25*(IF(E$3-'Hiring Plan'!$K$28&lt;Assumptions!$B$26,0,IF(E$3-'Hiring Plan'!$K$28=Assumptions!$B$26,0.5,1))+IF(E$3-'Hiring Plan'!$K$29&lt;Assumptions!$B$26,0,IF(E$3-'Hiring Plan'!$K$29=Assumptions!$B$26,0.5,1)))</f>
        <v>0</v>
      </c>
      <c r="F19" s="19" t="n">
        <f aca="false">Assumptions!$B$25*(IF(F$3-'Hiring Plan'!$K$28&lt;Assumptions!$B$26,0,IF(F$3-'Hiring Plan'!$K$28=Assumptions!$B$26,0.5,1))+IF(F$3-'Hiring Plan'!$K$29&lt;Assumptions!$B$26,0,IF(F$3-'Hiring Plan'!$K$29=Assumptions!$B$26,0.5,1)))</f>
        <v>0</v>
      </c>
      <c r="G19" s="19" t="n">
        <f aca="false">Assumptions!$B$25*(IF(G$3-'Hiring Plan'!$K$28&lt;Assumptions!$B$26,0,IF(G$3-'Hiring Plan'!$K$28=Assumptions!$B$26,0.5,1))+IF(G$3-'Hiring Plan'!$K$29&lt;Assumptions!$B$26,0,IF(G$3-'Hiring Plan'!$K$29=Assumptions!$B$26,0.5,1)))</f>
        <v>0</v>
      </c>
      <c r="H19" s="19" t="n">
        <f aca="false">Assumptions!$B$25*(IF(H$3-'Hiring Plan'!$K$28&lt;Assumptions!$B$26,0,IF(H$3-'Hiring Plan'!$K$28=Assumptions!$B$26,0.5,1))+IF(H$3-'Hiring Plan'!$K$29&lt;Assumptions!$B$26,0,IF(H$3-'Hiring Plan'!$K$29=Assumptions!$B$26,0.5,1)))</f>
        <v>0</v>
      </c>
      <c r="I19" s="19" t="n">
        <f aca="false">Assumptions!$B$25*(IF(I$3-'Hiring Plan'!$K$28&lt;Assumptions!$B$26,0,IF(I$3-'Hiring Plan'!$K$28=Assumptions!$B$26,0.5,1))+IF(I$3-'Hiring Plan'!$K$29&lt;Assumptions!$B$26,0,IF(I$3-'Hiring Plan'!$K$29=Assumptions!$B$26,0.5,1)))</f>
        <v>2000</v>
      </c>
      <c r="J19" s="19" t="n">
        <f aca="false">Assumptions!$B$25*(IF(J$3-'Hiring Plan'!$K$28&lt;Assumptions!$B$26,0,IF(J$3-'Hiring Plan'!$K$28=Assumptions!$B$26,0.5,1))+IF(J$3-'Hiring Plan'!$K$29&lt;Assumptions!$B$26,0,IF(J$3-'Hiring Plan'!$K$29=Assumptions!$B$26,0.5,1)))</f>
        <v>6000</v>
      </c>
      <c r="K19" s="19" t="n">
        <f aca="false">Assumptions!$B$25*(IF(K$3-'Hiring Plan'!$K$28&lt;Assumptions!$B$26,0,IF(K$3-'Hiring Plan'!$K$28=Assumptions!$B$26,0.5,1))+IF(K$3-'Hiring Plan'!$K$29&lt;Assumptions!$B$26,0,IF(K$3-'Hiring Plan'!$K$29=Assumptions!$B$26,0.5,1)))</f>
        <v>8000</v>
      </c>
      <c r="L19" s="19" t="n">
        <f aca="false">Assumptions!$B$25*(IF(L$3-'Hiring Plan'!$K$28&lt;Assumptions!$B$26,0,IF(L$3-'Hiring Plan'!$K$28=Assumptions!$B$26,0.5,1))+IF(L$3-'Hiring Plan'!$K$29&lt;Assumptions!$B$26,0,IF(L$3-'Hiring Plan'!$K$29=Assumptions!$B$26,0.5,1)))</f>
        <v>8000</v>
      </c>
      <c r="M19" s="19" t="n">
        <f aca="false">Assumptions!$B$25*(IF(M$3-'Hiring Plan'!$K$28&lt;Assumptions!$B$26,0,IF(M$3-'Hiring Plan'!$K$28=Assumptions!$B$26,0.5,1))+IF(M$3-'Hiring Plan'!$K$29&lt;Assumptions!$B$26,0,IF(M$3-'Hiring Plan'!$K$29=Assumptions!$B$26,0.5,1)))</f>
        <v>8000</v>
      </c>
      <c r="N19" s="19" t="n">
        <f aca="false">Assumptions!$B$25*(IF(N$3-'Hiring Plan'!$K$28&lt;Assumptions!$B$26,0,IF(N$3-'Hiring Plan'!$K$28=Assumptions!$B$26,0.5,1))+IF(N$3-'Hiring Plan'!$K$29&lt;Assumptions!$B$26,0,IF(N$3-'Hiring Plan'!$K$29=Assumptions!$B$26,0.5,1)))</f>
        <v>8000</v>
      </c>
      <c r="O19" s="19" t="n">
        <f aca="false">Assumptions!$B$25*(IF(O$3-'Hiring Plan'!$K$28&lt;Assumptions!$B$26,0,IF(O$3-'Hiring Plan'!$K$28=Assumptions!$B$26,0.5,1))+IF(O$3-'Hiring Plan'!$K$29&lt;Assumptions!$B$26,0,IF(O$3-'Hiring Plan'!$K$29=Assumptions!$B$26,0.5,1)))</f>
        <v>8000</v>
      </c>
      <c r="P19" s="19" t="n">
        <f aca="false">Assumptions!$B$25*(IF(P$3-'Hiring Plan'!$K$28&lt;Assumptions!$B$26,0,IF(P$3-'Hiring Plan'!$K$28=Assumptions!$B$26,0.5,1))+IF(P$3-'Hiring Plan'!$K$29&lt;Assumptions!$B$26,0,IF(P$3-'Hiring Plan'!$K$29=Assumptions!$B$26,0.5,1)))</f>
        <v>8000</v>
      </c>
      <c r="Q19" s="19" t="n">
        <f aca="false">Assumptions!$B$25*(IF(Q$3-'Hiring Plan'!$K$28&lt;Assumptions!$B$26,0,IF(Q$3-'Hiring Plan'!$K$28=Assumptions!$B$26,0.5,1))+IF(Q$3-'Hiring Plan'!$K$29&lt;Assumptions!$B$26,0,IF(Q$3-'Hiring Plan'!$K$29=Assumptions!$B$26,0.5,1)))</f>
        <v>8000</v>
      </c>
      <c r="R19" s="19" t="n">
        <f aca="false">Assumptions!$B$25*(IF(R$3-'Hiring Plan'!$K$28&lt;Assumptions!$B$26,0,IF(R$3-'Hiring Plan'!$K$28=Assumptions!$B$26,0.5,1))+IF(R$3-'Hiring Plan'!$K$29&lt;Assumptions!$B$26,0,IF(R$3-'Hiring Plan'!$K$29=Assumptions!$B$26,0.5,1)))</f>
        <v>8000</v>
      </c>
      <c r="S19" s="19" t="n">
        <f aca="false">Assumptions!$B$25*(IF(S$3-'Hiring Plan'!$K$28&lt;Assumptions!$B$26,0,IF(S$3-'Hiring Plan'!$K$28=Assumptions!$B$26,0.5,1))+IF(S$3-'Hiring Plan'!$K$29&lt;Assumptions!$B$26,0,IF(S$3-'Hiring Plan'!$K$29=Assumptions!$B$26,0.5,1)))</f>
        <v>8000</v>
      </c>
      <c r="T19" s="19" t="n">
        <f aca="false">Assumptions!$B$25*(IF(T$3-'Hiring Plan'!$K$28&lt;Assumptions!$B$26,0,IF(T$3-'Hiring Plan'!$K$28=Assumptions!$B$26,0.5,1))+IF(T$3-'Hiring Plan'!$K$29&lt;Assumptions!$B$26,0,IF(T$3-'Hiring Plan'!$K$29=Assumptions!$B$26,0.5,1)))</f>
        <v>8000</v>
      </c>
    </row>
    <row r="20" customFormat="false" ht="15" hidden="false" customHeight="false" outlineLevel="0" collapsed="false">
      <c r="A20" s="8" t="s">
        <v>191</v>
      </c>
      <c r="B20" s="19"/>
      <c r="C20" s="19" t="n">
        <f aca="false">Assumptions!$B$11</f>
        <v>19000</v>
      </c>
      <c r="D20" s="19" t="n">
        <f aca="false">Assumptions!$B$11</f>
        <v>19000</v>
      </c>
      <c r="E20" s="19" t="n">
        <f aca="false">Assumptions!$B$11</f>
        <v>19000</v>
      </c>
      <c r="F20" s="19" t="n">
        <f aca="false">Assumptions!$B$11</f>
        <v>19000</v>
      </c>
      <c r="G20" s="19" t="n">
        <f aca="false">Assumptions!$B$11</f>
        <v>19000</v>
      </c>
      <c r="H20" s="19" t="n">
        <f aca="false">Assumptions!$B$11</f>
        <v>19000</v>
      </c>
      <c r="I20" s="19" t="n">
        <f aca="false">Assumptions!$B$11</f>
        <v>19000</v>
      </c>
      <c r="J20" s="19" t="n">
        <f aca="false">Assumptions!$B$11</f>
        <v>19000</v>
      </c>
      <c r="K20" s="19" t="n">
        <f aca="false">Assumptions!$B$11</f>
        <v>19000</v>
      </c>
      <c r="L20" s="19" t="n">
        <f aca="false">Assumptions!$B$11</f>
        <v>19000</v>
      </c>
      <c r="M20" s="19" t="n">
        <f aca="false">Assumptions!$B$11</f>
        <v>19000</v>
      </c>
      <c r="N20" s="19" t="n">
        <f aca="false">Assumptions!$B$11</f>
        <v>19000</v>
      </c>
      <c r="O20" s="19" t="n">
        <f aca="false">Assumptions!$B$11</f>
        <v>19000</v>
      </c>
      <c r="P20" s="19" t="n">
        <f aca="false">Assumptions!$B$11</f>
        <v>19000</v>
      </c>
      <c r="Q20" s="19" t="n">
        <f aca="false">Assumptions!$B$11</f>
        <v>19000</v>
      </c>
      <c r="R20" s="19" t="n">
        <f aca="false">Assumptions!$B$11</f>
        <v>19000</v>
      </c>
      <c r="S20" s="19" t="n">
        <f aca="false">Assumptions!$B$11</f>
        <v>19000</v>
      </c>
      <c r="T20" s="19" t="n">
        <f aca="false">Assumptions!$B$11</f>
        <v>19000</v>
      </c>
    </row>
    <row r="21" customFormat="false" ht="15" hidden="false" customHeight="false" outlineLevel="0" collapsed="false">
      <c r="A21" s="8" t="s">
        <v>192</v>
      </c>
      <c r="B21" s="2"/>
      <c r="C21" s="21" t="n">
        <f aca="false">MAX(Assumptions!$B$28,Assumptions!$B$12-Assumptions!$B$29*MAX(0,C$3-2))</f>
        <v>0.03</v>
      </c>
      <c r="D21" s="21" t="n">
        <f aca="false">MAX(Assumptions!$B$28,Assumptions!$B$12-Assumptions!$B$29*MAX(0,D$3-2))</f>
        <v>0.03</v>
      </c>
      <c r="E21" s="21" t="n">
        <f aca="false">MAX(Assumptions!$B$28,Assumptions!$B$12-Assumptions!$B$29*MAX(0,E$3-2))</f>
        <v>0.028</v>
      </c>
      <c r="F21" s="21" t="n">
        <f aca="false">MAX(Assumptions!$B$28,Assumptions!$B$12-Assumptions!$B$29*MAX(0,F$3-2))</f>
        <v>0.026</v>
      </c>
      <c r="G21" s="21" t="n">
        <f aca="false">MAX(Assumptions!$B$28,Assumptions!$B$12-Assumptions!$B$29*MAX(0,G$3-2))</f>
        <v>0.024</v>
      </c>
      <c r="H21" s="21" t="n">
        <f aca="false">MAX(Assumptions!$B$28,Assumptions!$B$12-Assumptions!$B$29*MAX(0,H$3-2))</f>
        <v>0.022</v>
      </c>
      <c r="I21" s="21" t="n">
        <f aca="false">MAX(Assumptions!$B$28,Assumptions!$B$12-Assumptions!$B$29*MAX(0,I$3-2))</f>
        <v>0.02</v>
      </c>
      <c r="J21" s="21" t="n">
        <f aca="false">MAX(Assumptions!$B$28,Assumptions!$B$12-Assumptions!$B$29*MAX(0,J$3-2))</f>
        <v>0.02</v>
      </c>
      <c r="K21" s="21" t="n">
        <f aca="false">MAX(Assumptions!$B$28,Assumptions!$B$12-Assumptions!$B$29*MAX(0,K$3-2))</f>
        <v>0.02</v>
      </c>
      <c r="L21" s="21" t="n">
        <f aca="false">MAX(Assumptions!$B$28,Assumptions!$B$12-Assumptions!$B$29*MAX(0,L$3-2))</f>
        <v>0.02</v>
      </c>
      <c r="M21" s="21" t="n">
        <f aca="false">MAX(Assumptions!$B$28,Assumptions!$B$12-Assumptions!$B$29*MAX(0,M$3-2))</f>
        <v>0.02</v>
      </c>
      <c r="N21" s="21" t="n">
        <f aca="false">MAX(Assumptions!$B$28,Assumptions!$B$12-Assumptions!$B$29*MAX(0,N$3-2))</f>
        <v>0.02</v>
      </c>
      <c r="O21" s="21" t="n">
        <f aca="false">MAX(Assumptions!$B$28,Assumptions!$B$12-Assumptions!$B$29*MAX(0,O$3-2))</f>
        <v>0.02</v>
      </c>
      <c r="P21" s="21" t="n">
        <f aca="false">MAX(Assumptions!$B$28,Assumptions!$B$12-Assumptions!$B$29*MAX(0,P$3-2))</f>
        <v>0.02</v>
      </c>
      <c r="Q21" s="21" t="n">
        <f aca="false">MAX(Assumptions!$B$28,Assumptions!$B$12-Assumptions!$B$29*MAX(0,Q$3-2))</f>
        <v>0.02</v>
      </c>
      <c r="R21" s="21" t="n">
        <f aca="false">MAX(Assumptions!$B$28,Assumptions!$B$12-Assumptions!$B$29*MAX(0,R$3-2))</f>
        <v>0.02</v>
      </c>
      <c r="S21" s="21" t="n">
        <f aca="false">MAX(Assumptions!$B$28,Assumptions!$B$12-Assumptions!$B$29*MAX(0,S$3-2))</f>
        <v>0.02</v>
      </c>
      <c r="T21" s="21" t="n">
        <f aca="false">MAX(Assumptions!$B$28,Assumptions!$B$12-Assumptions!$B$29*MAX(0,T$3-2))</f>
        <v>0.02</v>
      </c>
    </row>
    <row r="22" customFormat="false" ht="15" hidden="false" customHeight="false" outlineLevel="0" collapsed="false">
      <c r="A22" s="4" t="s">
        <v>193</v>
      </c>
      <c r="B22" s="6" t="n">
        <f aca="false">Assumptions!B10</f>
        <v>450000</v>
      </c>
      <c r="C22" s="19" t="n">
        <f aca="false">B22*(1-C21)+SUM(C14:C20)</f>
        <v>455500</v>
      </c>
      <c r="D22" s="19" t="n">
        <f aca="false">C22*(1-D21)+SUM(D14:D20)</f>
        <v>460835</v>
      </c>
      <c r="E22" s="19" t="n">
        <f aca="false">D22*(1-E21)+SUM(E14:E20)</f>
        <v>466931.62</v>
      </c>
      <c r="F22" s="19" t="n">
        <f aca="false">E22*(1-F21)+SUM(F14:F20)</f>
        <v>479416.39788</v>
      </c>
      <c r="G22" s="19" t="n">
        <f aca="false">F22*(1-G21)+SUM(G14:G20)</f>
        <v>500243.737664213</v>
      </c>
      <c r="H22" s="19" t="n">
        <f aca="false">G22*(1-H21)+SUM(H14:H20)</f>
        <v>530946.708768934</v>
      </c>
      <c r="I22" s="19" t="n">
        <f aca="false">H22*(1-I21)+SUM(I14:I20)</f>
        <v>573411.107926889</v>
      </c>
      <c r="J22" s="19" t="n">
        <f aca="false">I22*(1-J21)+SUM(J14:J20)</f>
        <v>625276.219101684</v>
      </c>
      <c r="K22" s="19" t="n">
        <f aca="false">J22*(1-K21)+SUM(K14:K20)</f>
        <v>682270.69471965</v>
      </c>
      <c r="L22" s="19" t="n">
        <f aca="false">K22*(1-L21)+SUM(L14:L20)</f>
        <v>738993.336380813</v>
      </c>
      <c r="M22" s="19" t="n">
        <f aca="false">L22*(1-M21)+SUM(M14:M20)</f>
        <v>795449.580764308</v>
      </c>
      <c r="N22" s="19" t="n">
        <f aca="false">M22*(1-N21)+SUM(N14:N20)</f>
        <v>851644.755815688</v>
      </c>
      <c r="O22" s="19" t="n">
        <f aca="false">N22*(1-O21)+SUM(O14:O20)</f>
        <v>907584.082921597</v>
      </c>
      <c r="P22" s="19" t="n">
        <f aca="false">O22*(1-P21)+SUM(P14:P20)</f>
        <v>962404.623485387</v>
      </c>
      <c r="Q22" s="19" t="n">
        <f aca="false">P22*(1-Q21)+SUM(Q14:Q20)</f>
        <v>1016128.7532379</v>
      </c>
      <c r="R22" s="19" t="n">
        <f aca="false">Q22*(1-R21)+SUM(R14:R20)</f>
        <v>1068778.40039537</v>
      </c>
      <c r="S22" s="19" t="n">
        <f aca="false">R22*(1-S21)+SUM(S14:S20)</f>
        <v>1120375.05460968</v>
      </c>
      <c r="T22" s="19" t="n">
        <f aca="false">S22*(1-T21)+SUM(T14:T20)</f>
        <v>1170939.77573971</v>
      </c>
    </row>
    <row r="23" customFormat="false" ht="15" hidden="false" customHeight="false" outlineLevel="0" collapsed="false">
      <c r="A23" s="8" t="s">
        <v>194</v>
      </c>
      <c r="B23" s="19"/>
      <c r="C23" s="19" t="n">
        <f aca="false">C22-C12</f>
        <v>0</v>
      </c>
      <c r="D23" s="19" t="n">
        <f aca="false">D22-D12</f>
        <v>0</v>
      </c>
      <c r="E23" s="19" t="n">
        <f aca="false">E22-E12</f>
        <v>921.669999999984</v>
      </c>
      <c r="F23" s="19" t="n">
        <f aca="false">F22-F12</f>
        <v>8386.74638000003</v>
      </c>
      <c r="G23" s="19" t="n">
        <f aca="false">G22-G12</f>
        <v>24344.9757092133</v>
      </c>
      <c r="H23" s="19" t="n">
        <f aca="false">H22-H12</f>
        <v>50324.9096725839</v>
      </c>
      <c r="I23" s="19" t="n">
        <f aca="false">I22-I12</f>
        <v>88207.9628034291</v>
      </c>
      <c r="J23" s="19" t="n">
        <f aca="false">J22-J12</f>
        <v>135629.168331928</v>
      </c>
      <c r="K23" s="19" t="n">
        <f aca="false">K22-K12</f>
        <v>188313.055472987</v>
      </c>
      <c r="L23" s="19" t="n">
        <f aca="false">L22-L12</f>
        <v>240854.42631155</v>
      </c>
      <c r="M23" s="19" t="n">
        <f aca="false">M22-M12</f>
        <v>293254.837997122</v>
      </c>
      <c r="N23" s="19" t="n">
        <f aca="false">N22-N12</f>
        <v>345515.855331518</v>
      </c>
      <c r="O23" s="19" t="n">
        <f aca="false">O22-O12</f>
        <v>397639.049451952</v>
      </c>
      <c r="P23" s="19" t="n">
        <f aca="false">P22-P12</f>
        <v>448757.941019832</v>
      </c>
      <c r="Q23" s="19" t="n">
        <f aca="false">Q22-Q12</f>
        <v>498891.471246313</v>
      </c>
      <c r="R23" s="19" t="n">
        <f aca="false">R22-R12</f>
        <v>548058.236863525</v>
      </c>
      <c r="S23" s="19" t="n">
        <f aca="false">S22-S12</f>
        <v>596276.495983795</v>
      </c>
      <c r="T23" s="19" t="n">
        <f aca="false">T22-T12</f>
        <v>643564.1738726</v>
      </c>
    </row>
    <row r="24" customFormat="false" ht="15" hidden="false" customHeight="false" outlineLevel="0" collapsed="false">
      <c r="A24" s="8" t="s">
        <v>195</v>
      </c>
      <c r="B24" s="19"/>
      <c r="C24" s="19" t="n">
        <f aca="false">C23*Assumptions!$B$13</f>
        <v>0</v>
      </c>
      <c r="D24" s="19" t="n">
        <f aca="false">D23*Assumptions!$B$13</f>
        <v>0</v>
      </c>
      <c r="E24" s="19" t="n">
        <f aca="false">E23*Assumptions!$B$13</f>
        <v>553.00199999999</v>
      </c>
      <c r="F24" s="19" t="n">
        <f aca="false">F23*Assumptions!$B$13</f>
        <v>5032.04782800002</v>
      </c>
      <c r="G24" s="19" t="n">
        <f aca="false">G23*Assumptions!$B$13</f>
        <v>14606.985425528</v>
      </c>
      <c r="H24" s="19" t="n">
        <f aca="false">H23*Assumptions!$B$13</f>
        <v>30194.9458035504</v>
      </c>
      <c r="I24" s="19" t="n">
        <f aca="false">I23*Assumptions!$B$13</f>
        <v>52924.7776820574</v>
      </c>
      <c r="J24" s="19" t="n">
        <f aca="false">J23*Assumptions!$B$13</f>
        <v>81377.500999157</v>
      </c>
      <c r="K24" s="19" t="n">
        <f aca="false">K23*Assumptions!$B$13</f>
        <v>112987.833283792</v>
      </c>
      <c r="L24" s="19" t="n">
        <f aca="false">L23*Assumptions!$B$13</f>
        <v>144512.65578693</v>
      </c>
      <c r="M24" s="19" t="n">
        <f aca="false">M23*Assumptions!$B$13</f>
        <v>175952.902798273</v>
      </c>
      <c r="N24" s="19" t="n">
        <f aca="false">N23*Assumptions!$B$13</f>
        <v>207309.513198911</v>
      </c>
      <c r="O24" s="19" t="n">
        <f aca="false">O23*Assumptions!$B$13</f>
        <v>238583.429671171</v>
      </c>
      <c r="P24" s="19" t="n">
        <f aca="false">P23*Assumptions!$B$13</f>
        <v>269254.764611899</v>
      </c>
      <c r="Q24" s="19" t="n">
        <f aca="false">Q23*Assumptions!$B$13</f>
        <v>299334.882747788</v>
      </c>
      <c r="R24" s="19" t="n">
        <f aca="false">R23*Assumptions!$B$13</f>
        <v>328834.942118115</v>
      </c>
      <c r="S24" s="19" t="n">
        <f aca="false">S23*Assumptions!$B$13</f>
        <v>357765.897590277</v>
      </c>
      <c r="T24" s="19" t="n">
        <f aca="false">T23*Assumptions!$B$13</f>
        <v>386138.50432356</v>
      </c>
    </row>
    <row r="25" customFormat="false" ht="15" hidden="false" customHeight="false" outlineLevel="0" collapsed="false">
      <c r="A25" s="8" t="s">
        <v>196</v>
      </c>
      <c r="B25" s="19" t="n">
        <v>0</v>
      </c>
      <c r="C25" s="19" t="n">
        <f aca="false">B25+C24</f>
        <v>0</v>
      </c>
      <c r="D25" s="19" t="n">
        <f aca="false">C25+D24</f>
        <v>0</v>
      </c>
      <c r="E25" s="19" t="n">
        <f aca="false">D25+E24</f>
        <v>553.00199999999</v>
      </c>
      <c r="F25" s="19" t="n">
        <f aca="false">E25+F24</f>
        <v>5585.04982800001</v>
      </c>
      <c r="G25" s="19" t="n">
        <f aca="false">F25+G24</f>
        <v>20192.035253528</v>
      </c>
      <c r="H25" s="19" t="n">
        <f aca="false">G25+H24</f>
        <v>50386.9810570783</v>
      </c>
      <c r="I25" s="19" t="n">
        <f aca="false">H25+I24</f>
        <v>103311.758739136</v>
      </c>
      <c r="J25" s="19" t="n">
        <f aca="false">I25+J24</f>
        <v>184689.259738293</v>
      </c>
      <c r="K25" s="19" t="n">
        <f aca="false">J25+K24</f>
        <v>297677.093022085</v>
      </c>
      <c r="L25" s="19" t="n">
        <f aca="false">K25+L24</f>
        <v>442189.748809015</v>
      </c>
      <c r="M25" s="19" t="n">
        <f aca="false">L25+M24</f>
        <v>618142.651607288</v>
      </c>
      <c r="N25" s="19" t="n">
        <f aca="false">M25+N24</f>
        <v>825452.1648062</v>
      </c>
      <c r="O25" s="19" t="n">
        <f aca="false">N25+O24</f>
        <v>1064035.59447737</v>
      </c>
      <c r="P25" s="19" t="n">
        <f aca="false">O25+P24</f>
        <v>1333290.35908927</v>
      </c>
      <c r="Q25" s="19" t="n">
        <f aca="false">P25+Q24</f>
        <v>1632625.24183706</v>
      </c>
      <c r="R25" s="19" t="n">
        <f aca="false">Q25+R24</f>
        <v>1961460.18395517</v>
      </c>
      <c r="S25" s="19" t="n">
        <f aca="false">R25+S24</f>
        <v>2319226.08154545</v>
      </c>
      <c r="T25" s="19" t="n">
        <f aca="false">S25+T24</f>
        <v>2705364.58586901</v>
      </c>
    </row>
    <row r="26" customFormat="false" ht="15" hidden="false" customHeight="false" outlineLevel="0" collapsed="false">
      <c r="A26" s="4" t="s">
        <v>197</v>
      </c>
      <c r="B26" s="19"/>
      <c r="C26" s="19" t="n">
        <f aca="false">C25-C10</f>
        <v>-2582.97872340426</v>
      </c>
      <c r="D26" s="19" t="n">
        <f aca="false">D25-D10</f>
        <v>-44155.6241134752</v>
      </c>
      <c r="E26" s="19" t="n">
        <f aca="false">E25-E10</f>
        <v>-145678.785234043</v>
      </c>
      <c r="F26" s="19" t="n">
        <f aca="false">F25-F10</f>
        <v>-247700.790597532</v>
      </c>
      <c r="G26" s="19" t="n">
        <f aca="false">G25-G10</f>
        <v>-354215.649143635</v>
      </c>
      <c r="H26" s="19" t="n">
        <f aca="false">H25-H10</f>
        <v>-439926.554403915</v>
      </c>
      <c r="I26" s="19" t="n">
        <f aca="false">I25-I10</f>
        <v>-500615.251899162</v>
      </c>
      <c r="J26" s="19" t="n">
        <f aca="false">J25-J10</f>
        <v>-531651.22607731</v>
      </c>
      <c r="K26" s="19" t="n">
        <f aca="false">K25-K10</f>
        <v>-531076.867970823</v>
      </c>
      <c r="L26" s="19" t="n">
        <f aca="false">L25-L10</f>
        <v>-498977.687361198</v>
      </c>
      <c r="M26" s="19" t="n">
        <f aca="false">M25-M10</f>
        <v>-435438.259740229</v>
      </c>
      <c r="N26" s="19" t="n">
        <f aca="false">N25-N10</f>
        <v>-340542.221718623</v>
      </c>
      <c r="O26" s="19" t="n">
        <f aca="false">O25-O10</f>
        <v>-214372.267224757</v>
      </c>
      <c r="P26" s="19" t="n">
        <f aca="false">P25-P10</f>
        <v>-57530.9777901634</v>
      </c>
      <c r="Q26" s="19" t="n">
        <f aca="false">Q25-Q10</f>
        <v>129390.429780319</v>
      </c>
      <c r="R26" s="19" t="n">
        <f aca="false">R25-R10</f>
        <v>345811.896721129</v>
      </c>
      <c r="S26" s="19" t="n">
        <f aca="false">S25-S10</f>
        <v>591164.319134101</v>
      </c>
      <c r="T26" s="19" t="n">
        <f aca="false">T25-T10</f>
        <v>864889.348280356</v>
      </c>
    </row>
    <row r="27" customFormat="false" ht="15" hidden="false" customHeight="false" outlineLevel="0" collapsed="false">
      <c r="A27" s="8" t="s">
        <v>198</v>
      </c>
      <c r="B27" s="19"/>
      <c r="C27" s="19" t="n">
        <f aca="false">C22*12</f>
        <v>5466000</v>
      </c>
      <c r="D27" s="19" t="n">
        <f aca="false">D22*12</f>
        <v>5530020</v>
      </c>
      <c r="E27" s="19" t="n">
        <f aca="false">E22*12</f>
        <v>5603179.44</v>
      </c>
      <c r="F27" s="19" t="n">
        <f aca="false">F22*12</f>
        <v>5752996.77456</v>
      </c>
      <c r="G27" s="19" t="n">
        <f aca="false">G22*12</f>
        <v>6002924.85197056</v>
      </c>
      <c r="H27" s="19" t="n">
        <f aca="false">H22*12</f>
        <v>6371360.50522721</v>
      </c>
      <c r="I27" s="19" t="n">
        <f aca="false">I22*12</f>
        <v>6880933.29512266</v>
      </c>
      <c r="J27" s="19" t="n">
        <f aca="false">J22*12</f>
        <v>7503314.62922021</v>
      </c>
      <c r="K27" s="19" t="n">
        <f aca="false">K22*12</f>
        <v>8187248.3366358</v>
      </c>
      <c r="L27" s="19" t="n">
        <f aca="false">L22*12</f>
        <v>8867920.03656975</v>
      </c>
      <c r="M27" s="19" t="n">
        <f aca="false">M22*12</f>
        <v>9545394.96917169</v>
      </c>
      <c r="N27" s="19" t="n">
        <f aca="false">N22*12</f>
        <v>10219737.0697883</v>
      </c>
      <c r="O27" s="19" t="n">
        <f aca="false">O22*12</f>
        <v>10891008.9950592</v>
      </c>
      <c r="P27" s="19" t="n">
        <f aca="false">P22*12</f>
        <v>11548855.4818246</v>
      </c>
      <c r="Q27" s="19" t="n">
        <f aca="false">Q22*12</f>
        <v>12193545.0388548</v>
      </c>
      <c r="R27" s="19" t="n">
        <f aca="false">R22*12</f>
        <v>12825340.8047444</v>
      </c>
      <c r="S27" s="19" t="n">
        <f aca="false">S22*12</f>
        <v>13444500.6553162</v>
      </c>
      <c r="T27" s="19" t="n">
        <f aca="false">T22*12</f>
        <v>14051277.3088765</v>
      </c>
    </row>
    <row r="28" customFormat="false" ht="15" hidden="false" customHeight="false" outlineLevel="0" collapsed="false">
      <c r="A28" s="8" t="s">
        <v>199</v>
      </c>
      <c r="B28" s="2"/>
      <c r="C28" s="2" t="str">
        <f aca="false">IF(C26&gt;=0,C$3,"")</f>
        <v/>
      </c>
      <c r="D28" s="2" t="str">
        <f aca="false">IF(D26&gt;=0,D$3,"")</f>
        <v/>
      </c>
      <c r="E28" s="2" t="str">
        <f aca="false">IF(E26&gt;=0,E$3,"")</f>
        <v/>
      </c>
      <c r="F28" s="2" t="str">
        <f aca="false">IF(F26&gt;=0,F$3,"")</f>
        <v/>
      </c>
      <c r="G28" s="2" t="str">
        <f aca="false">IF(G26&gt;=0,G$3,"")</f>
        <v/>
      </c>
      <c r="H28" s="2" t="str">
        <f aca="false">IF(H26&gt;=0,H$3,"")</f>
        <v/>
      </c>
      <c r="I28" s="2" t="str">
        <f aca="false">IF(I26&gt;=0,I$3,"")</f>
        <v/>
      </c>
      <c r="J28" s="2" t="str">
        <f aca="false">IF(J26&gt;=0,J$3,"")</f>
        <v/>
      </c>
      <c r="K28" s="2" t="str">
        <f aca="false">IF(K26&gt;=0,K$3,"")</f>
        <v/>
      </c>
      <c r="L28" s="2" t="str">
        <f aca="false">IF(L26&gt;=0,L$3,"")</f>
        <v/>
      </c>
      <c r="M28" s="2" t="str">
        <f aca="false">IF(M26&gt;=0,M$3,"")</f>
        <v/>
      </c>
      <c r="N28" s="2" t="str">
        <f aca="false">IF(N26&gt;=0,N$3,"")</f>
        <v/>
      </c>
      <c r="O28" s="2" t="str">
        <f aca="false">IF(O26&gt;=0,O$3,"")</f>
        <v/>
      </c>
      <c r="P28" s="2" t="str">
        <f aca="false">IF(P26&gt;=0,P$3,"")</f>
        <v/>
      </c>
      <c r="Q28" s="2" t="n">
        <f aca="false">IF(Q26&gt;=0,Q$3,"")</f>
        <v>15</v>
      </c>
      <c r="R28" s="2" t="n">
        <f aca="false">IF(R26&gt;=0,R$3,"")</f>
        <v>16</v>
      </c>
      <c r="S28" s="2" t="n">
        <f aca="false">IF(S26&gt;=0,S$3,"")</f>
        <v>17</v>
      </c>
      <c r="T28" s="2" t="n">
        <f aca="false">IF(T26&gt;=0,T$3,"")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200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15" t="s">
        <v>202</v>
      </c>
      <c r="B4" s="15" t="s">
        <v>203</v>
      </c>
      <c r="C4" s="15" t="s">
        <v>204</v>
      </c>
      <c r="D4" s="15" t="s">
        <v>205</v>
      </c>
      <c r="E4" s="15" t="s">
        <v>206</v>
      </c>
    </row>
    <row r="5" customFormat="false" ht="15" hidden="false" customHeight="false" outlineLevel="0" collapsed="false">
      <c r="A5" s="2" t="s">
        <v>207</v>
      </c>
      <c r="B5" s="6" t="n">
        <f aca="false">Assumptions!B10</f>
        <v>450000</v>
      </c>
      <c r="C5" s="6" t="n">
        <f aca="false">Assumptions!B10</f>
        <v>450000</v>
      </c>
      <c r="D5" s="6" t="n">
        <f aca="false">'Monthly Model'!N22</f>
        <v>851644.755815688</v>
      </c>
      <c r="E5" s="6" t="n">
        <f aca="false">Assumptions!B47</f>
        <v>1000000</v>
      </c>
    </row>
    <row r="6" customFormat="false" ht="15" hidden="false" customHeight="false" outlineLevel="0" collapsed="false">
      <c r="A6" s="2" t="s">
        <v>208</v>
      </c>
      <c r="B6" s="26" t="n">
        <f aca="false">Assumptions!$B$45+(1-Assumptions!$B$13)*(B5-Assumptions!$B$10)</f>
        <v>156405</v>
      </c>
      <c r="C6" s="26" t="n">
        <f aca="false">Assumptions!$B$45+(1-Assumptions!$B$13)*(C5-Assumptions!$B$10)</f>
        <v>156405</v>
      </c>
      <c r="D6" s="26" t="n">
        <f aca="false">Assumptions!$B$45+(1-Assumptions!$B$13)*(D5-Assumptions!$B$10)</f>
        <v>317062.902326275</v>
      </c>
      <c r="E6" s="26" t="n">
        <f aca="false">Assumptions!$B$45+(1-Assumptions!$B$13)*(E5-Assumptions!$B$10)</f>
        <v>376405</v>
      </c>
    </row>
    <row r="7" customFormat="false" ht="15" hidden="false" customHeight="false" outlineLevel="0" collapsed="false">
      <c r="A7" s="2" t="s">
        <v>209</v>
      </c>
      <c r="B7" s="6" t="n">
        <f aca="false">Assumptions!$B$46</f>
        <v>40102</v>
      </c>
      <c r="C7" s="6" t="n">
        <f aca="false">Assumptions!$B$46</f>
        <v>40102</v>
      </c>
      <c r="D7" s="6" t="n">
        <f aca="false">Assumptions!$B$46</f>
        <v>40102</v>
      </c>
      <c r="E7" s="6" t="n">
        <f aca="false">Assumptions!$B$46</f>
        <v>40102</v>
      </c>
    </row>
    <row r="8" customFormat="false" ht="15" hidden="false" customHeight="false" outlineLevel="0" collapsed="false">
      <c r="A8" s="2" t="s">
        <v>210</v>
      </c>
      <c r="B8" s="6" t="n">
        <v>0</v>
      </c>
      <c r="C8" s="6" t="n">
        <f aca="false">'Hiring Plan'!R33</f>
        <v>96913.475177305</v>
      </c>
      <c r="D8" s="6" t="n">
        <f aca="false">'Monthly Model'!N6</f>
        <v>96913.475177305</v>
      </c>
      <c r="E8" s="6" t="n">
        <f aca="false">'Hiring Plan'!R32</f>
        <v>96913.475177305</v>
      </c>
    </row>
    <row r="9" customFormat="false" ht="15" hidden="false" customHeight="false" outlineLevel="0" collapsed="false">
      <c r="A9" s="2" t="s">
        <v>211</v>
      </c>
      <c r="B9" s="6" t="n">
        <v>0</v>
      </c>
      <c r="C9" s="6" t="n">
        <f aca="false">Assumptions!B31+Assumptions!B32+Assumptions!B33</f>
        <v>15500</v>
      </c>
      <c r="D9" s="6" t="n">
        <f aca="false">'Monthly Model'!N8</f>
        <v>15500</v>
      </c>
      <c r="E9" s="6" t="n">
        <f aca="false">Assumptions!B31+Assumptions!B32+Assumptions!B33</f>
        <v>15500</v>
      </c>
    </row>
    <row r="10" customFormat="false" ht="15" hidden="false" customHeight="false" outlineLevel="0" collapsed="false">
      <c r="A10" s="4" t="s">
        <v>212</v>
      </c>
      <c r="B10" s="26" t="n">
        <f aca="false">SUM(B6:B9)</f>
        <v>196507</v>
      </c>
      <c r="C10" s="26" t="n">
        <f aca="false">SUM(C6:C9)</f>
        <v>308920.475177305</v>
      </c>
      <c r="D10" s="26" t="n">
        <f aca="false">SUM(D6:D9)</f>
        <v>469578.37750358</v>
      </c>
      <c r="E10" s="26" t="n">
        <f aca="false">SUM(E6:E9)</f>
        <v>528920.475177305</v>
      </c>
    </row>
    <row r="11" customFormat="false" ht="15" hidden="false" customHeight="false" outlineLevel="0" collapsed="false">
      <c r="A11" s="4" t="s">
        <v>213</v>
      </c>
      <c r="B11" s="26" t="n">
        <f aca="false">B5-B10</f>
        <v>253493</v>
      </c>
      <c r="C11" s="26" t="n">
        <f aca="false">C5-C10</f>
        <v>141079.524822695</v>
      </c>
      <c r="D11" s="26" t="n">
        <f aca="false">D5-D10</f>
        <v>382066.378312108</v>
      </c>
      <c r="E11" s="26" t="n">
        <f aca="false">E5-E10</f>
        <v>471079.524822695</v>
      </c>
    </row>
    <row r="12" customFormat="false" ht="15" hidden="false" customHeight="false" outlineLevel="0" collapsed="false">
      <c r="A12" s="2" t="s">
        <v>214</v>
      </c>
      <c r="B12" s="21" t="n">
        <f aca="false">IF(B5=0,0,B11/B5)</f>
        <v>0.563317777777778</v>
      </c>
      <c r="C12" s="21" t="n">
        <f aca="false">IF(C5=0,0,C11/C5)</f>
        <v>0.313510055161545</v>
      </c>
      <c r="D12" s="21" t="n">
        <f aca="false">IF(D5=0,0,D11/D5)</f>
        <v>0.448621770642118</v>
      </c>
      <c r="E12" s="21" t="n">
        <f aca="false">IF(E5=0,0,E11/E5)</f>
        <v>0.471079524822695</v>
      </c>
    </row>
    <row r="13" customFormat="false" ht="15" hidden="false" customHeight="false" outlineLevel="0" collapsed="false">
      <c r="A13" s="2" t="s">
        <v>215</v>
      </c>
      <c r="B13" s="21" t="n">
        <f aca="false">IF(B5=0,0,(B5-B6)/B5)</f>
        <v>0.652433333333333</v>
      </c>
      <c r="C13" s="21" t="n">
        <f aca="false">IF(C5=0,0,(C5-C6)/C5)</f>
        <v>0.652433333333333</v>
      </c>
      <c r="D13" s="21" t="n">
        <f aca="false">IF(D5=0,0,(D5-D6)/D5)</f>
        <v>0.627705213751244</v>
      </c>
      <c r="E13" s="21" t="n">
        <f aca="false">IF(E5=0,0,(E5-E6)/E5)</f>
        <v>0.623595</v>
      </c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3" t="s">
        <v>216</v>
      </c>
      <c r="B15" s="2"/>
      <c r="C15" s="2"/>
      <c r="D15" s="2"/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217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5.05" hidden="false" customHeight="false" outlineLevel="0" collapsed="false">
      <c r="A3" s="15" t="s">
        <v>218</v>
      </c>
      <c r="B3" s="15" t="s">
        <v>219</v>
      </c>
      <c r="C3" s="15" t="s">
        <v>220</v>
      </c>
      <c r="D3" s="15" t="s">
        <v>221</v>
      </c>
      <c r="E3" s="15" t="s">
        <v>222</v>
      </c>
      <c r="F3" s="15" t="s">
        <v>223</v>
      </c>
      <c r="G3" s="15" t="s">
        <v>224</v>
      </c>
      <c r="H3" s="15" t="s">
        <v>225</v>
      </c>
    </row>
    <row r="4" customFormat="false" ht="15" hidden="false" customHeight="false" outlineLevel="0" collapsed="false">
      <c r="A4" s="2" t="s">
        <v>226</v>
      </c>
      <c r="B4" s="6" t="n">
        <f aca="false">SUM('Monthly Model'!C14:N14)*12</f>
        <v>1950000</v>
      </c>
      <c r="C4" s="6" t="n">
        <f aca="false">Assumptions!B39</f>
        <v>60000</v>
      </c>
      <c r="D4" s="27" t="n">
        <f aca="false">IF(C4=0,0,B4/C4)</f>
        <v>32.5</v>
      </c>
      <c r="E4" s="18" t="n">
        <f aca="false">Assumptions!B42</f>
        <v>0.117</v>
      </c>
      <c r="F4" s="20" t="n">
        <f aca="false">IF(E4=0,0,D4/E4)</f>
        <v>277.777777777778</v>
      </c>
      <c r="G4" s="20" t="n">
        <f aca="false">F4/12</f>
        <v>23.1481481481482</v>
      </c>
      <c r="H4" s="5" t="n">
        <f aca="false">3*Assumptions!B15/Assumptions!B39/12/Assumptions!B42</f>
        <v>42.7350427350427</v>
      </c>
    </row>
    <row r="5" customFormat="false" ht="15" hidden="false" customHeight="false" outlineLevel="0" collapsed="false">
      <c r="A5" s="2" t="s">
        <v>227</v>
      </c>
      <c r="B5" s="6" t="n">
        <f aca="false">SUM('Monthly Model'!C15:N16)*12</f>
        <v>925000</v>
      </c>
      <c r="C5" s="6" t="n">
        <f aca="false">Assumptions!B40</f>
        <v>100000</v>
      </c>
      <c r="D5" s="27" t="n">
        <f aca="false">IF(C5=0,0,B5/C5)</f>
        <v>9.25</v>
      </c>
      <c r="E5" s="18" t="n">
        <f aca="false">Assumptions!B43</f>
        <v>0.08</v>
      </c>
      <c r="F5" s="20" t="n">
        <f aca="false">IF(E5=0,0,D5/E5)</f>
        <v>115.625</v>
      </c>
      <c r="G5" s="20" t="n">
        <f aca="false">F5/12</f>
        <v>9.63541666666667</v>
      </c>
      <c r="H5" s="5" t="n">
        <f aca="false">((1+Assumptions!B35)*Assumptions!B16+Assumptions!B17)/Assumptions!B40/12/Assumptions!B43</f>
        <v>18.75</v>
      </c>
    </row>
    <row r="6" customFormat="false" ht="15" hidden="false" customHeight="false" outlineLevel="0" collapsed="false">
      <c r="A6" s="2" t="s">
        <v>228</v>
      </c>
      <c r="B6" s="6" t="n">
        <f aca="false">SUM('Monthly Model'!C17:N17)*12</f>
        <v>62500</v>
      </c>
      <c r="C6" s="6" t="n">
        <f aca="false">Assumptions!B41</f>
        <v>50000</v>
      </c>
      <c r="D6" s="27" t="n">
        <f aca="false">IF(C6=0,0,B6/C6)</f>
        <v>1.25</v>
      </c>
      <c r="E6" s="18" t="n">
        <f aca="false">Assumptions!B42</f>
        <v>0.117</v>
      </c>
      <c r="F6" s="20" t="n">
        <f aca="false">IF(E6=0,0,D6/E6)</f>
        <v>10.6837606837607</v>
      </c>
      <c r="G6" s="20" t="n">
        <f aca="false">F6/12</f>
        <v>0.89031339031339</v>
      </c>
      <c r="H6" s="5" t="n">
        <f aca="false">Assumptions!B18/Assumptions!B41/12/Assumptions!B42</f>
        <v>7.12250712250712</v>
      </c>
    </row>
    <row r="7" customFormat="false" ht="15" hidden="false" customHeight="false" outlineLevel="0" collapsed="false">
      <c r="A7" s="2" t="s">
        <v>229</v>
      </c>
      <c r="B7" s="6" t="n">
        <f aca="false">SUM('Monthly Model'!C20:N20)*12</f>
        <v>2736000</v>
      </c>
      <c r="C7" s="6" t="n">
        <f aca="false">Assumptions!B41</f>
        <v>50000</v>
      </c>
      <c r="D7" s="27" t="n">
        <f aca="false">IF(C7=0,0,B7/C7)</f>
        <v>54.72</v>
      </c>
      <c r="E7" s="18" t="n">
        <f aca="false">Assumptions!B42</f>
        <v>0.117</v>
      </c>
      <c r="F7" s="20" t="n">
        <f aca="false">IF(E7=0,0,D7/E7)</f>
        <v>467.692307692308</v>
      </c>
      <c r="G7" s="20" t="n">
        <f aca="false">F7/12</f>
        <v>38.974358974359</v>
      </c>
      <c r="H7" s="5" t="n">
        <f aca="false">Assumptions!B11*12/Assumptions!B41/Assumptions!B42</f>
        <v>38.974358974359</v>
      </c>
    </row>
    <row r="8" customFormat="false" ht="15" hidden="false" customHeight="false" outlineLevel="0" collapsed="false">
      <c r="A8" s="4" t="s">
        <v>170</v>
      </c>
      <c r="B8" s="22" t="n">
        <f aca="false">SUM(B4:B7)</f>
        <v>5673500</v>
      </c>
      <c r="C8" s="2"/>
      <c r="D8" s="28" t="n">
        <f aca="false">SUM(D4:D7)</f>
        <v>97.72</v>
      </c>
      <c r="E8" s="2"/>
      <c r="F8" s="29" t="n">
        <f aca="false">SUM(F4:F7)</f>
        <v>871.778846153846</v>
      </c>
      <c r="G8" s="29" t="n">
        <f aca="false">SUM(G4:G7)</f>
        <v>72.6482371794872</v>
      </c>
      <c r="H8" s="29" t="n">
        <f aca="false">SUM(H4:H7)</f>
        <v>107.581908831909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3" t="s">
        <v>230</v>
      </c>
      <c r="B10" s="2"/>
      <c r="C10" s="2"/>
      <c r="D10" s="2"/>
      <c r="E10" s="2"/>
      <c r="F10" s="2"/>
      <c r="G10" s="2"/>
      <c r="H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2026-10-20T20:41:11Z</dcterms:created>
  <dc:creator>openpyxl</dc:creator>
  <dc:description/>
  <dc:language>en-US</dc:language>
  <cp:lastModifiedBy/>
  <dcterms:modified xsi:type="dcterms:W3CDTF">2026-10-20T20:41:11Z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
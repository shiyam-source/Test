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Client Book" sheetId="3" state="visible" r:id="rId5"/>
    <sheet name="Capacity" sheetId="4" state="visible" r:id="rId6"/>
    <sheet name="Seats" sheetId="5" state="visible" r:id="rId7"/>
    <sheet name="Hiring Ramp" sheetId="6" state="visible" r:id="rId8"/>
    <sheet name="Targets and Pay" sheetId="7" state="visible" r:id="rId9"/>
  </sheets>
  <definedNames>
    <definedName function="false" hidden="true" localSheetId="2" name="_xlnm._FilterDatabase" vbProcedure="false">'Client Book'!$A$5:$Q$68</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Source: Current Org Structure (Google Sheet 1j5STh-NtKemXkoCkuYElm0_x4sjycTJdSuegqgxXAjI), tabs Paid Media Structure (ACTIVE CLIENT ROSTER) and SEO Structure (second, updated block), read 21 Oct 2026. Regions for SEO from the TripleDart Delivery Org doc client matrix. GoLimelight tagged US because Limelight Inc is US in the paid roster.</t>
        </r>
      </text>
    </comment>
  </commentList>
</comments>
</file>

<file path=xl/sharedStrings.xml><?xml version="1.0" encoding="utf-8"?>
<sst xmlns="http://schemas.openxmlformats.org/spreadsheetml/2006/main" count="815" uniqueCount="402">
  <si>
    <t xml:space="preserve">Account management at TripleDart: capacity and hiring plan</t>
  </si>
  <si>
    <t xml:space="preserve">Built 21 Oct 2026 from the Current Org Structure sheet. All numbers are formulas over the other tabs.</t>
  </si>
  <si>
    <t xml:space="preserve">Question</t>
  </si>
  <si>
    <t xml:space="preserve">Answer</t>
  </si>
  <si>
    <t xml:space="preserve">Where it comes from</t>
  </si>
  <si>
    <t xml:space="preserve">Engagements today (paid, SEO, RevOps)</t>
  </si>
  <si>
    <t xml:space="preserve">Assumptions</t>
  </si>
  <si>
    <t xml:space="preserve">Unique client accounts in AM scope today (paid and SEO)</t>
  </si>
  <si>
    <t xml:space="preserve">Capacity, version 1</t>
  </si>
  <si>
    <t xml:space="preserve">Clients buying both paid and SEO</t>
  </si>
  <si>
    <t xml:space="preserve">Weighted units today</t>
  </si>
  <si>
    <t xml:space="preserve">Version 3, lean start: AMs to hire now</t>
  </si>
  <si>
    <t xml:space="preserve">Capacity, version 3</t>
  </si>
  <si>
    <t xml:space="preserve">Version 3: share of today's book covered</t>
  </si>
  <si>
    <t xml:space="preserve">Version 1: AMs for full coverage of today's book</t>
  </si>
  <si>
    <t xml:space="preserve">Version 2: AMs for 100 engagements</t>
  </si>
  <si>
    <t xml:space="preserve">Capacity, version 2</t>
  </si>
  <si>
    <t xml:space="preserve">Of which on US + Canada hours at 100 engagements</t>
  </si>
  <si>
    <t xml:space="preserve">Annual cost of the modelled stage, loaded ($)</t>
  </si>
  <si>
    <t xml:space="preserve">Seats</t>
  </si>
  <si>
    <t xml:space="preserve">Annual cost of the modelled stage (₹ lakh)</t>
  </si>
  <si>
    <t xml:space="preserve">Coverage in Jan 2027 (modelled stage)</t>
  </si>
  <si>
    <t xml:space="preserve">Hiring Ramp</t>
  </si>
  <si>
    <t xml:space="preserve">Coverage in Apr 2027 (modelled stage)</t>
  </si>
  <si>
    <t xml:space="preserve">India AM pay: fixed + variable at target (₹ lakh)</t>
  </si>
  <si>
    <t xml:space="preserve">How to use this workbook</t>
  </si>
  <si>
    <t xml:space="preserve">Change inputs only on the Assumptions tab (blue text). Yellow cells are the assumptions to confirm first.</t>
  </si>
  <si>
    <t xml:space="preserve">Add or remove clients on the Client Book tab: copy a row, then type the account, service line, pod, owner, region, MRR and status.</t>
  </si>
  <si>
    <t xml:space="preserve">Set "Hiring stage to model" on Assumptions to 1, 2 or 3 to see the ramp and cost for each version.</t>
  </si>
  <si>
    <t xml:space="preserve">RevOps is out of AM scope by default. Set the RevOps switch on Assumptions to 1 to include it.</t>
  </si>
  <si>
    <t xml:space="preserve">Blue text = input you can change. Yellow fill = key assumption to confirm. Every other tab reads from here.</t>
  </si>
  <si>
    <t xml:space="preserve">Assumption</t>
  </si>
  <si>
    <t xml:space="preserve">Value</t>
  </si>
  <si>
    <t xml:space="preserve">Why this number / source</t>
  </si>
  <si>
    <t xml:space="preserve">Capacity: how much one account manager can carry</t>
  </si>
  <si>
    <t xml:space="preserve">Target weighted units per ramped AM</t>
  </si>
  <si>
    <t xml:space="preserve">One unit = one mid-size, single-service retainer. 13 units is about 12-15 accounts. Pods and PMs run delivery, so the AM owns relationship, retention and expansion only. ThunderClap AMs carry 5-6 design projects because they also run delivery.</t>
  </si>
  <si>
    <t xml:space="preserve">Stretch units per AM (short periods only)</t>
  </si>
  <si>
    <t xml:space="preserve">Ceiling during onboarding spikes. Above this, 1:1s and expansion work stop happening.</t>
  </si>
  <si>
    <t xml:space="preserve">Weight: Enterprise retainer</t>
  </si>
  <si>
    <t xml:space="preserve">More stakeholders, monthly business reviews, more expansion surface.</t>
  </si>
  <si>
    <t xml:space="preserve">Weight: Mid retainer</t>
  </si>
  <si>
    <t xml:space="preserve">Baseline unit.</t>
  </si>
  <si>
    <t xml:space="preserve">Weight: Starter retainer</t>
  </si>
  <si>
    <t xml:space="preserve">Smaller scope, fewer stakeholders.</t>
  </si>
  <si>
    <t xml:space="preserve">Enterprise threshold, MRR per service line ($)</t>
  </si>
  <si>
    <t xml:space="preserve">Paid roster tags $7K+ as tier 1.</t>
  </si>
  <si>
    <t xml:space="preserve">Mid threshold, MRR per service line ($)</t>
  </si>
  <si>
    <t xml:space="preserve">Paid roster flags under $4K as below the price floor.</t>
  </si>
  <si>
    <t xml:space="preserve">Factor for a second service line on the same account</t>
  </si>
  <si>
    <t xml:space="preserve">A full-service client is one relationship. The second line adds half its weight, not a full account.</t>
  </si>
  <si>
    <t xml:space="preserve">Onboarding add-on per new engagement (first 60 days)</t>
  </si>
  <si>
    <t xml:space="preserve">Kickoff, questionnaire, dashboard, POC 1:1s. Applies to signed-not-started deals and every new engagement in the ramp.</t>
  </si>
  <si>
    <t xml:space="preserve">Units the Head of AM carries personally</t>
  </si>
  <si>
    <t xml:space="preserve">Gayu keeps a small book (tier-1 and full-service accounts) so she stays close to clients. Rest of her time: team, process, escalations.</t>
  </si>
  <si>
    <t xml:space="preserve">Account MRR at which the Head of AM owns the account ($)</t>
  </si>
  <si>
    <t xml:space="preserve">Accounts at or above this combined MRR (across all service lines) sit with the Head of AM. Today: Atlas and GE Appliances.</t>
  </si>
  <si>
    <t xml:space="preserve">Service lines in scope</t>
  </si>
  <si>
    <t xml:space="preserve">Include RevOps in AM coverage? (1 = yes, 0 = no)</t>
  </si>
  <si>
    <t xml:space="preserve">User direction: RevOps stays as it is for now (JK owns). Switch to 1 to see the extra AM load.</t>
  </si>
  <si>
    <t xml:space="preserve">RevOps engagements today</t>
  </si>
  <si>
    <t xml:space="preserve">Source: Current Org Structure sheet, Revops tab, Oct 2026.</t>
  </si>
  <si>
    <t xml:space="preserve">RevOps MRR today ($)</t>
  </si>
  <si>
    <t xml:space="preserve">Weight per RevOps engagement</t>
  </si>
  <si>
    <t xml:space="preserve">Treated as a mid retainer until the RevOps client list is added.</t>
  </si>
  <si>
    <t xml:space="preserve">Share of untagged SEO accounts that need US hours</t>
  </si>
  <si>
    <t xml:space="preserve">14 SEO accounts have no region tag yet. Manoj to tag them; this split is a placeholder.</t>
  </si>
  <si>
    <t xml:space="preserve">Growth: path to 100 engagements</t>
  </si>
  <si>
    <t xml:space="preserve">Engagements today (paid + SEO rows in Client Book, plus RevOps)</t>
  </si>
  <si>
    <t xml:space="preserve">Counts service-line engagements, so a client buying paid and SEO counts twice.</t>
  </si>
  <si>
    <t xml:space="preserve">Target engagements</t>
  </si>
  <si>
    <t xml:space="preserve">User direction: 100 engagements.</t>
  </si>
  <si>
    <t xml:space="preserve">Months to reach the target</t>
  </si>
  <si>
    <t xml:space="preserve">User direction: next 2 months (Nov and Dec 2026).</t>
  </si>
  <si>
    <t xml:space="preserve">New engagements per month after the target</t>
  </si>
  <si>
    <t xml:space="preserve">Placeholder. Replace with the HubSpot run-rate.</t>
  </si>
  <si>
    <t xml:space="preserve">Ramp of a new account manager</t>
  </si>
  <si>
    <t xml:space="preserve">Capacity in month 1</t>
  </si>
  <si>
    <t xml:space="preserve">Shadowing and immersion (see the onboarding plan, weeks 1-2).</t>
  </si>
  <si>
    <t xml:space="preserve">Capacity in month 2</t>
  </si>
  <si>
    <t xml:space="preserve">Takes over the first book (weeks 3-6).</t>
  </si>
  <si>
    <t xml:space="preserve">Capacity from month 3</t>
  </si>
  <si>
    <t xml:space="preserve">Full book.</t>
  </si>
  <si>
    <t xml:space="preserve">Pay and currency</t>
  </si>
  <si>
    <t xml:space="preserve">INR per USD</t>
  </si>
  <si>
    <t xml:space="preserve">Same FX as the TripleDart investment model.</t>
  </si>
  <si>
    <t xml:space="preserve">CAD per USD</t>
  </si>
  <si>
    <t xml:space="preserve">Approximate, Oct 2026. Update before an offer.</t>
  </si>
  <si>
    <t xml:space="preserve">ZAR per USD</t>
  </si>
  <si>
    <t xml:space="preserve">Employer load, India payroll</t>
  </si>
  <si>
    <t xml:space="preserve">Same as the investment model.</t>
  </si>
  <si>
    <t xml:space="preserve">Employer load, Canada or South Africa (EOR or contractor)</t>
  </si>
  <si>
    <t xml:space="preserve">Same as the investment model for USD roles. An EOR fee may add more.</t>
  </si>
  <si>
    <t xml:space="preserve">India AM fixed pay (₹ lakh a year)</t>
  </si>
  <si>
    <t xml:space="preserve">User direction: up to ₹15L fixed, depending on the person.</t>
  </si>
  <si>
    <t xml:space="preserve">India AM variable at 100% of target (₹ lakh a year)</t>
  </si>
  <si>
    <t xml:space="preserve">User direction: try for up to ₹10L variable.</t>
  </si>
  <si>
    <t xml:space="preserve">Canada AM fixed pay (CAD a year)</t>
  </si>
  <si>
    <t xml:space="preserve">Estimate for a mid-level agency AM in Toronto. Check against offers.</t>
  </si>
  <si>
    <t xml:space="preserve">Canada AM variable at target (CAD a year)</t>
  </si>
  <si>
    <t xml:space="preserve">Estimate. Same plan design as India.</t>
  </si>
  <si>
    <t xml:space="preserve">South Africa AM fixed pay (ZAR a year)</t>
  </si>
  <si>
    <t xml:space="preserve">Estimate for a mid-level agency AM in Cape Town or Johannesburg. Check against offers.</t>
  </si>
  <si>
    <t xml:space="preserve">South Africa AM variable at target (ZAR a year)</t>
  </si>
  <si>
    <t xml:space="preserve">Head of AM role uplift for Gayu (₹ lakh a year)</t>
  </si>
  <si>
    <t xml:space="preserve">Gayu is already on payroll. Enter any raise tied to the new role.</t>
  </si>
  <si>
    <t xml:space="preserve">Test hire location (Canada or South Africa)</t>
  </si>
  <si>
    <t xml:space="preserve">Canada</t>
  </si>
  <si>
    <t xml:space="preserve">Canada works US Eastern hours natively. South Africa covers UK and Europe all day and US Eastern mornings only.</t>
  </si>
  <si>
    <t xml:space="preserve">Targets per ramped account manager</t>
  </si>
  <si>
    <t xml:space="preserve">Expansion: new MRR per quarter ($)</t>
  </si>
  <si>
    <t xml:space="preserve">About $2K new MRR a month per AM. The investment model assumed $5K a month from the first 2-3 AMs.</t>
  </si>
  <si>
    <t xml:space="preserve">Gross revenue retention per quarter</t>
  </si>
  <si>
    <t xml:space="preserve">About 2% monthly churn, down from 3% today.</t>
  </si>
  <si>
    <t xml:space="preserve">Average CSAT (out of 10)</t>
  </si>
  <si>
    <t xml:space="preserve">Collected live in fortnightly 1:1s.</t>
  </si>
  <si>
    <t xml:space="preserve">Client contacts per account (multithreading)</t>
  </si>
  <si>
    <t xml:space="preserve">ThunderClap standard: at least two POCs per client.</t>
  </si>
  <si>
    <t xml:space="preserve">Variable pay plan (quarterly)</t>
  </si>
  <si>
    <t xml:space="preserve">Weight: retention (GRR)</t>
  </si>
  <si>
    <t xml:space="preserve">Paid on keeping revenue.</t>
  </si>
  <si>
    <t xml:space="preserve">Weight: expansion bookings</t>
  </si>
  <si>
    <t xml:space="preserve">Paid on growing revenue.</t>
  </si>
  <si>
    <t xml:space="preserve">Weight: client health and hygiene</t>
  </si>
  <si>
    <t xml:space="preserve">CSAT, 1:1 cadence, MOMs and weekly reports on time.</t>
  </si>
  <si>
    <t xml:space="preserve">GRR below which the retention part pays 0</t>
  </si>
  <si>
    <t xml:space="preserve">Linear from 50% payout at the floor to 100% at target.</t>
  </si>
  <si>
    <t xml:space="preserve">Cap on the expansion payout (multiple of target)</t>
  </si>
  <si>
    <t xml:space="preserve">Pays linearly up to 2x target.</t>
  </si>
  <si>
    <t xml:space="preserve">Model settings</t>
  </si>
  <si>
    <t xml:space="preserve">Hiring stage to model (1 = lean start, 2 = cover today's book, 3 = 100 engagements)</t>
  </si>
  <si>
    <t xml:space="preserve">Drives which seats appear in the Hiring Ramp. See the Seats tab.</t>
  </si>
  <si>
    <t xml:space="preserve">Client book: every paid and SEO engagement today</t>
  </si>
  <si>
    <t xml:space="preserve">One row per service-line engagement. Black columns are formulas. RevOps client names are not in the source sheet, so RevOps is counted in Assumptions.</t>
  </si>
  <si>
    <t xml:space="preserve">Sorted by service line, then pod. Accounts that appear twice buy more than one service.</t>
  </si>
  <si>
    <t xml:space="preserve">Account</t>
  </si>
  <si>
    <t xml:space="preserve">Name in roster</t>
  </si>
  <si>
    <t xml:space="preserve">Service line</t>
  </si>
  <si>
    <t xml:space="preserve">Pod</t>
  </si>
  <si>
    <t xml:space="preserve">Relationship owner today</t>
  </si>
  <si>
    <t xml:space="preserve">Region</t>
  </si>
  <si>
    <t xml:space="preserve">Shift</t>
  </si>
  <si>
    <t xml:space="preserve">MRR ($)</t>
  </si>
  <si>
    <t xml:space="preserve">Status</t>
  </si>
  <si>
    <t xml:space="preserve">Health flag</t>
  </si>
  <si>
    <t xml:space="preserve">Tier</t>
  </si>
  <si>
    <t xml:space="preserve">Base weight</t>
  </si>
  <si>
    <t xml:space="preserve">Rank within account</t>
  </si>
  <si>
    <t xml:space="preserve">Line role</t>
  </si>
  <si>
    <t xml:space="preserve">Weighted units</t>
  </si>
  <si>
    <t xml:space="preserve">Account MRR, all lines ($)</t>
  </si>
  <si>
    <t xml:space="preserve">Proposed owner</t>
  </si>
  <si>
    <t xml:space="preserve">CleverTap</t>
  </si>
  <si>
    <t xml:space="preserve">Clevertap</t>
  </si>
  <si>
    <t xml:space="preserve">Paid media</t>
  </si>
  <si>
    <t xml:space="preserve">Bas</t>
  </si>
  <si>
    <t xml:space="preserve">Sabari</t>
  </si>
  <si>
    <t xml:space="preserve">India</t>
  </si>
  <si>
    <t xml:space="preserve">Live</t>
  </si>
  <si>
    <t xml:space="preserve">TimeDoctor</t>
  </si>
  <si>
    <t xml:space="preserve">SN</t>
  </si>
  <si>
    <t xml:space="preserve">US</t>
  </si>
  <si>
    <t xml:space="preserve">MakeMyTrip</t>
  </si>
  <si>
    <t xml:space="preserve">Makemytrip</t>
  </si>
  <si>
    <t xml:space="preserve">Lightyear</t>
  </si>
  <si>
    <t xml:space="preserve">EmailOctopus</t>
  </si>
  <si>
    <t xml:space="preserve">EU</t>
  </si>
  <si>
    <t xml:space="preserve">VWO</t>
  </si>
  <si>
    <t xml:space="preserve">VWO (Wingify)</t>
  </si>
  <si>
    <t xml:space="preserve">CoramAI</t>
  </si>
  <si>
    <t xml:space="preserve">Below price floor</t>
  </si>
  <si>
    <t xml:space="preserve">JoinBrands</t>
  </si>
  <si>
    <t xml:space="preserve">Srushti</t>
  </si>
  <si>
    <t xml:space="preserve">Edmingle</t>
  </si>
  <si>
    <t xml:space="preserve">Datachannel</t>
  </si>
  <si>
    <t xml:space="preserve">Payoneer</t>
  </si>
  <si>
    <t xml:space="preserve">MEA</t>
  </si>
  <si>
    <t xml:space="preserve">RTS Labs</t>
  </si>
  <si>
    <t xml:space="preserve">TraqCheck</t>
  </si>
  <si>
    <t xml:space="preserve">Numera</t>
  </si>
  <si>
    <t xml:space="preserve">DataMoon</t>
  </si>
  <si>
    <t xml:space="preserve">Shony</t>
  </si>
  <si>
    <t xml:space="preserve">GE Appliances</t>
  </si>
  <si>
    <t xml:space="preserve">GEAppliances</t>
  </si>
  <si>
    <t xml:space="preserve">Atlas</t>
  </si>
  <si>
    <t xml:space="preserve">AccuSource</t>
  </si>
  <si>
    <t xml:space="preserve">AccuSourceHR</t>
  </si>
  <si>
    <t xml:space="preserve">Sirion</t>
  </si>
  <si>
    <t xml:space="preserve">Signed, not started</t>
  </si>
  <si>
    <t xml:space="preserve">Yanolja Cloud</t>
  </si>
  <si>
    <t xml:space="preserve">Yanoljacloudsolution</t>
  </si>
  <si>
    <t xml:space="preserve">Sabari direct</t>
  </si>
  <si>
    <t xml:space="preserve">Restolabs</t>
  </si>
  <si>
    <t xml:space="preserve">Fyle</t>
  </si>
  <si>
    <t xml:space="preserve">Raghu</t>
  </si>
  <si>
    <t xml:space="preserve">Mahesh</t>
  </si>
  <si>
    <t xml:space="preserve">Limelight</t>
  </si>
  <si>
    <t xml:space="preserve">Limelight Inc</t>
  </si>
  <si>
    <t xml:space="preserve">Infobip</t>
  </si>
  <si>
    <t xml:space="preserve">Helpshift</t>
  </si>
  <si>
    <t xml:space="preserve">Vidya</t>
  </si>
  <si>
    <t xml:space="preserve">Paddle</t>
  </si>
  <si>
    <t xml:space="preserve">IFS</t>
  </si>
  <si>
    <t xml:space="preserve">Whatfix</t>
  </si>
  <si>
    <t xml:space="preserve">MMT Happay</t>
  </si>
  <si>
    <t xml:space="preserve">Everstage</t>
  </si>
  <si>
    <t xml:space="preserve">SEO and GEO</t>
  </si>
  <si>
    <t xml:space="preserve">Pod 1</t>
  </si>
  <si>
    <t xml:space="preserve">Glenn</t>
  </si>
  <si>
    <t xml:space="preserve">India + RoW</t>
  </si>
  <si>
    <t xml:space="preserve">Unstable</t>
  </si>
  <si>
    <t xml:space="preserve">Mailreach</t>
  </si>
  <si>
    <t xml:space="preserve">ZingHR</t>
  </si>
  <si>
    <t xml:space="preserve">FarEye</t>
  </si>
  <si>
    <t xml:space="preserve">Fareye</t>
  </si>
  <si>
    <t xml:space="preserve">RTSLabs</t>
  </si>
  <si>
    <t xml:space="preserve">SKU IQ</t>
  </si>
  <si>
    <t xml:space="preserve">Needs US hours</t>
  </si>
  <si>
    <t xml:space="preserve">Field1st</t>
  </si>
  <si>
    <t xml:space="preserve">Caplinked</t>
  </si>
  <si>
    <t xml:space="preserve">Pod 2</t>
  </si>
  <si>
    <t xml:space="preserve">Zawad</t>
  </si>
  <si>
    <t xml:space="preserve">Untagged</t>
  </si>
  <si>
    <t xml:space="preserve">Likely churn</t>
  </si>
  <si>
    <t xml:space="preserve">Docupilot</t>
  </si>
  <si>
    <t xml:space="preserve">WM Synergy</t>
  </si>
  <si>
    <t xml:space="preserve">Cognizant</t>
  </si>
  <si>
    <t xml:space="preserve">GoLimelight</t>
  </si>
  <si>
    <t xml:space="preserve">FinBox</t>
  </si>
  <si>
    <t xml:space="preserve">Vistaar</t>
  </si>
  <si>
    <t xml:space="preserve">ClearlyRated</t>
  </si>
  <si>
    <t xml:space="preserve">Clearlyrated</t>
  </si>
  <si>
    <t xml:space="preserve">Pod 3</t>
  </si>
  <si>
    <t xml:space="preserve">No AM (seat vacant)</t>
  </si>
  <si>
    <t xml:space="preserve">Hellocounsel</t>
  </si>
  <si>
    <t xml:space="preserve">Metafile</t>
  </si>
  <si>
    <t xml:space="preserve">WeWork</t>
  </si>
  <si>
    <t xml:space="preserve">Presentation AI</t>
  </si>
  <si>
    <t xml:space="preserve">MailOra</t>
  </si>
  <si>
    <t xml:space="preserve">Cube MS</t>
  </si>
  <si>
    <t xml:space="preserve">BCL</t>
  </si>
  <si>
    <t xml:space="preserve">GE</t>
  </si>
  <si>
    <t xml:space="preserve">Pod 4</t>
  </si>
  <si>
    <t xml:space="preserve">Rohan</t>
  </si>
  <si>
    <t xml:space="preserve">Hexmodal</t>
  </si>
  <si>
    <t xml:space="preserve">Accusource</t>
  </si>
  <si>
    <t xml:space="preserve">Hissa</t>
  </si>
  <si>
    <t xml:space="preserve">Procureclix</t>
  </si>
  <si>
    <t xml:space="preserve">Brandlife</t>
  </si>
  <si>
    <t xml:space="preserve">RateGain</t>
  </si>
  <si>
    <t xml:space="preserve">Manoj direct</t>
  </si>
  <si>
    <t xml:space="preserve">Manoj</t>
  </si>
  <si>
    <t xml:space="preserve">Zoho</t>
  </si>
  <si>
    <t xml:space="preserve">Total</t>
  </si>
  <si>
    <t xml:space="preserve">Capacity: how many account managers each version needs</t>
  </si>
  <si>
    <t xml:space="preserve">Weighted units come from the Client Book. One ramped AM carries the target units in Assumptions.</t>
  </si>
  <si>
    <t xml:space="preserve">Version 1. Today's book: weighted units by service line and shift</t>
  </si>
  <si>
    <t xml:space="preserve">US + Canada</t>
  </si>
  <si>
    <t xml:space="preserve">Untagged to US</t>
  </si>
  <si>
    <t xml:space="preserve">Untagged to India + RoW</t>
  </si>
  <si>
    <t xml:space="preserve">Units, India + RoW</t>
  </si>
  <si>
    <t xml:space="preserve">Units, US + Canada</t>
  </si>
  <si>
    <t xml:space="preserve">RevOps (only if included)</t>
  </si>
  <si>
    <t xml:space="preserve">Total weighted units, today's book</t>
  </si>
  <si>
    <t xml:space="preserve">Units the Head of AM owns directly (accounts at or above her MRR line)</t>
  </si>
  <si>
    <t xml:space="preserve">Units the Head of AM carries (capped at her capacity)</t>
  </si>
  <si>
    <t xml:space="preserve">Units left for account managers</t>
  </si>
  <si>
    <t xml:space="preserve">FTE needed at target load</t>
  </si>
  <si>
    <t xml:space="preserve">Account managers to hire for full coverage of today's book</t>
  </si>
  <si>
    <t xml:space="preserve">Of which on US + Canada hours</t>
  </si>
  <si>
    <t xml:space="preserve">Of which on India + RoW hours</t>
  </si>
  <si>
    <t xml:space="preserve">Accounts today (paid and SEO, unique clients)</t>
  </si>
  <si>
    <t xml:space="preserve">MRR in scope today ($)</t>
  </si>
  <si>
    <t xml:space="preserve">MRR per account manager ($)</t>
  </si>
  <si>
    <t xml:space="preserve">Version 2. 100 engagements in two months</t>
  </si>
  <si>
    <t xml:space="preserve">Engagements today (all service lines)</t>
  </si>
  <si>
    <t xml:space="preserve">Engagements today in AM scope (paid + SEO, plus RevOps if included)</t>
  </si>
  <si>
    <t xml:space="preserve">Target engagements in AM scope (same mix as today)</t>
  </si>
  <si>
    <t xml:space="preserve">Weighted units per in-scope engagement today</t>
  </si>
  <si>
    <t xml:space="preserve">Steady-state units at the target</t>
  </si>
  <si>
    <t xml:space="preserve">Onboarding load from new in-scope engagements</t>
  </si>
  <si>
    <t xml:space="preserve">Peak units while new accounts onboard</t>
  </si>
  <si>
    <t xml:space="preserve">Units left for AMs at steady state (after the Head of AM)</t>
  </si>
  <si>
    <t xml:space="preserve">Account managers needed at steady state</t>
  </si>
  <si>
    <t xml:space="preserve">Account managers needed at the onboarding peak, at stretch load</t>
  </si>
  <si>
    <t xml:space="preserve">Account managers to plan for (larger of the two)</t>
  </si>
  <si>
    <t xml:space="preserve">Of which on US + Canada hours (same share as today)</t>
  </si>
  <si>
    <t xml:space="preserve">Version 3. Lean start: one SEO AM and two paid media AMs</t>
  </si>
  <si>
    <t xml:space="preserve">AMs in this version</t>
  </si>
  <si>
    <t xml:space="preserve">Capacity (units)</t>
  </si>
  <si>
    <t xml:space="preserve">Units in today's book</t>
  </si>
  <si>
    <t xml:space="preserve">Coverage</t>
  </si>
  <si>
    <t xml:space="preserve">Units not covered</t>
  </si>
  <si>
    <t xml:space="preserve">Head of AM (tier-1 and full-service)</t>
  </si>
  <si>
    <t xml:space="preserve">Units not covered stay with today's relationship owners (pod leads, Sabari, SN, Mahesh) until the next AM joins. Hand over the at-risk and enterprise accounts first; Starter accounts last.</t>
  </si>
  <si>
    <t xml:space="preserve">Region split: who works which hours</t>
  </si>
  <si>
    <t xml:space="preserve">Share</t>
  </si>
  <si>
    <t xml:space="preserve">AMs at full coverage</t>
  </si>
  <si>
    <t xml:space="preserve">Where they sit</t>
  </si>
  <si>
    <t xml:space="preserve">India + RoW (GMT shift, 1 pm-10 pm IST)</t>
  </si>
  <si>
    <t xml:space="preserve">US + Canada (EST shift, 5 pm-2 am IST)</t>
  </si>
  <si>
    <t xml:space="preserve">Seats: every account management role, its stage, start month and cost</t>
  </si>
  <si>
    <t xml:space="preserve">Stage 1 = lean start. Stage 2 = full coverage of today's book. Stage 3 = 100 engagements. Start month is the month index on the Hiring Ramp (1 = Nov 2026).</t>
  </si>
  <si>
    <t xml:space="preserve">#</t>
  </si>
  <si>
    <t xml:space="preserve">Seat</t>
  </si>
  <si>
    <t xml:space="preserve">Book</t>
  </si>
  <si>
    <t xml:space="preserve">Location</t>
  </si>
  <si>
    <t xml:space="preserve">Stage</t>
  </si>
  <si>
    <t xml:space="preserve">Start month (1 = Nov 2026)</t>
  </si>
  <si>
    <t xml:space="preserve">Fixed (local)</t>
  </si>
  <si>
    <t xml:space="preserve">Variable at target (local)</t>
  </si>
  <si>
    <t xml:space="preserve">Currency</t>
  </si>
  <si>
    <t xml:space="preserve">Annual cost, loaded ($)</t>
  </si>
  <si>
    <t xml:space="preserve">Monthly cost, loaded ($)</t>
  </si>
  <si>
    <t xml:space="preserve">Annual cost (₹ lakh)</t>
  </si>
  <si>
    <t xml:space="preserve">Head of Account Management (Gayu, title to confirm)</t>
  </si>
  <si>
    <t xml:space="preserve">All</t>
  </si>
  <si>
    <t xml:space="preserve">Tier-1 and full-service accounts, the team, process</t>
  </si>
  <si>
    <t xml:space="preserve">Both, overlap 5-10 pm IST</t>
  </si>
  <si>
    <t xml:space="preserve">INR lakh</t>
  </si>
  <si>
    <t xml:space="preserve">Account Manager, Paid Media</t>
  </si>
  <si>
    <t xml:space="preserve">India + RoW paid accounts</t>
  </si>
  <si>
    <t xml:space="preserve">GMT</t>
  </si>
  <si>
    <t xml:space="preserve">Account Manager, US + Canada (test hire)</t>
  </si>
  <si>
    <t xml:space="preserve">Paid media first, then SEO US</t>
  </si>
  <si>
    <t xml:space="preserve">US + Canada accounts, all lines</t>
  </si>
  <si>
    <t xml:space="preserve">EST</t>
  </si>
  <si>
    <t xml:space="preserve">Account Manager, SEO and GEO</t>
  </si>
  <si>
    <t xml:space="preserve">India + RoW SEO accounts, at-risk first</t>
  </si>
  <si>
    <t xml:space="preserve">Rest of India + RoW SEO, untagged accounts</t>
  </si>
  <si>
    <t xml:space="preserve">Account Manager, Paid Media and full-service</t>
  </si>
  <si>
    <t xml:space="preserve">Second paid book; full-service accounts below the Head of AM line</t>
  </si>
  <si>
    <t xml:space="preserve">Account Manager, US + Canada (EST shift)</t>
  </si>
  <si>
    <t xml:space="preserve">Second US book as US engagements grow</t>
  </si>
  <si>
    <t xml:space="preserve">Account Manager, India + RoW (paid or SEO, whichever book fills first)</t>
  </si>
  <si>
    <t xml:space="preserve">Paid media or SEO and GEO</t>
  </si>
  <si>
    <t xml:space="preserve">New India + RoW engagements</t>
  </si>
  <si>
    <t xml:space="preserve">Seats in the modelled stage</t>
  </si>
  <si>
    <t xml:space="preserve">Annual cost, modelled stage</t>
  </si>
  <si>
    <t xml:space="preserve">Fixed and variable are in the local currency of the seat: ₹ lakh for India, CAD or ZAR for the test hire. Cost assumes variable paid at 100% of target. Gayu is already on payroll, so her row shows only the role uplift.</t>
  </si>
  <si>
    <t xml:space="preserve">Past 100 engagements, add one account manager for roughly every 13 new engagements (one target book).</t>
  </si>
  <si>
    <t xml:space="preserve">Hiring ramp: demand against account manager capacity, month by month</t>
  </si>
  <si>
    <t xml:space="preserve">Demand grows to the target engagements, then by the monthly run-rate. New AMs ramp 40% / 70% / 100%. Seats come from the Seats tab for the stage set in Assumptions.</t>
  </si>
  <si>
    <t xml:space="preserve">Month</t>
  </si>
  <si>
    <t xml:space="preserve">Nov 2026</t>
  </si>
  <si>
    <t xml:space="preserve">Dec 2026</t>
  </si>
  <si>
    <t xml:space="preserve">Jan 2027</t>
  </si>
  <si>
    <t xml:space="preserve">Feb 2027</t>
  </si>
  <si>
    <t xml:space="preserve">Mar 2027</t>
  </si>
  <si>
    <t xml:space="preserve">Apr 2027</t>
  </si>
  <si>
    <t xml:space="preserve">May 2027</t>
  </si>
  <si>
    <t xml:space="preserve">Jun 2027</t>
  </si>
  <si>
    <t xml:space="preserve">Jul 2027</t>
  </si>
  <si>
    <t xml:space="preserve">Month index</t>
  </si>
  <si>
    <t xml:space="preserve">Demand</t>
  </si>
  <si>
    <t xml:space="preserve">Engagements, all lines (end of month)</t>
  </si>
  <si>
    <t xml:space="preserve">Engagements in AM scope</t>
  </si>
  <si>
    <t xml:space="preserve">New in-scope engagements in the last two months</t>
  </si>
  <si>
    <t xml:space="preserve">Weighted units of demand</t>
  </si>
  <si>
    <t xml:space="preserve">Capacity by seat (weighted units)</t>
  </si>
  <si>
    <t xml:space="preserve">Total capacity (units)</t>
  </si>
  <si>
    <t xml:space="preserve">Gap: demand minus capacity (units)</t>
  </si>
  <si>
    <t xml:space="preserve">Coverage of demand</t>
  </si>
  <si>
    <t xml:space="preserve">Account managers in seat (excluding Head of AM)</t>
  </si>
  <si>
    <t xml:space="preserve">Account managers needed at target load (excluding Head of AM)</t>
  </si>
  <si>
    <t xml:space="preserve">Monthly cost of seats in place, loaded ($)</t>
  </si>
  <si>
    <t xml:space="preserve">Cumulative cost, loaded ($)</t>
  </si>
  <si>
    <t xml:space="preserve">When coverage is under 100%, the Head of AM runs stretch loads and the remaining accounts stay with their current owners. India notice periods run 30 to 90 days, so an offer made in November usually starts in December or January.</t>
  </si>
  <si>
    <t xml:space="preserve">Targets and variable pay for one account manager</t>
  </si>
  <si>
    <t xml:space="preserve">Quarterly plan. Change the sample results in blue to see the payout.</t>
  </si>
  <si>
    <t xml:space="preserve">Measure</t>
  </si>
  <si>
    <t xml:space="preserve">Target</t>
  </si>
  <si>
    <t xml:space="preserve">How it is measured</t>
  </si>
  <si>
    <t xml:space="preserve">Book of accounts</t>
  </si>
  <si>
    <t xml:space="preserve">Weighted units, roughly 12-15 accounts.</t>
  </si>
  <si>
    <t xml:space="preserve">MRR kept from the book at quarter start, before expansion.</t>
  </si>
  <si>
    <t xml:space="preserve">Upsell, cross-sell (e.g. SEO to a paid client), scope increases, referrals the AM sources.</t>
  </si>
  <si>
    <t xml:space="preserve">CSAT form, filled live in the fortnightly 1:1.</t>
  </si>
  <si>
    <t xml:space="preserve">Client contacts per account</t>
  </si>
  <si>
    <t xml:space="preserve">Named contacts with a running 1:1.</t>
  </si>
  <si>
    <t xml:space="preserve">Hygiene: MOMs within 24 hours, weekly reports every Friday</t>
  </si>
  <si>
    <t xml:space="preserve">Spot-checked by the Head of AM.</t>
  </si>
  <si>
    <t xml:space="preserve">Variable pay, India AM (₹ lakh)</t>
  </si>
  <si>
    <t xml:space="preserve">Variable at 100% of target, per year</t>
  </si>
  <si>
    <t xml:space="preserve">Variable at 100% of target, per quarter</t>
  </si>
  <si>
    <t xml:space="preserve">Retention part at target</t>
  </si>
  <si>
    <t xml:space="preserve">Expansion part at target</t>
  </si>
  <si>
    <t xml:space="preserve">Health and hygiene part at target</t>
  </si>
  <si>
    <t xml:space="preserve">Sample quarter: enter results to see the payout</t>
  </si>
  <si>
    <t xml:space="preserve">GRR achieved</t>
  </si>
  <si>
    <t xml:space="preserve">Expansion MRR booked ($)</t>
  </si>
  <si>
    <t xml:space="preserve">Average CSAT</t>
  </si>
  <si>
    <t xml:space="preserve">Hygiene score (share of MOMs and reports on time)</t>
  </si>
  <si>
    <t xml:space="preserve">Retention payout %</t>
  </si>
  <si>
    <t xml:space="preserve">Zero below the floor, 50% at the floor, 100% at target, no extra above target.</t>
  </si>
  <si>
    <t xml:space="preserve">Expansion payout %</t>
  </si>
  <si>
    <t xml:space="preserve">Linear, capped at the multiple in Assumptions.</t>
  </si>
  <si>
    <t xml:space="preserve">Health payout %</t>
  </si>
  <si>
    <t xml:space="preserve">Full if CSAT is at target, half if not, scaled by hygiene.</t>
  </si>
  <si>
    <t xml:space="preserve">Payout this quarter (₹ lakh)</t>
  </si>
  <si>
    <t xml:space="preserve">Payout as % of quarterly target</t>
  </si>
  <si>
    <t xml:space="preserve">Expansion counts once the client signs and the first invoice for the new scope is paid. If the expanded scope ends within 6 months, the expansion part is clawed back. Spot awards for a saved at-risk account sit outside this plan.</t>
  </si>
</sst>
</file>

<file path=xl/styles.xml><?xml version="1.0" encoding="utf-8"?>
<styleSheet xmlns="http://schemas.openxmlformats.org/spreadsheetml/2006/main">
  <numFmts count="13">
    <numFmt numFmtId="164" formatCode="General"/>
    <numFmt numFmtId="165" formatCode="#,##0;\(#,##0\);\-"/>
    <numFmt numFmtId="166" formatCode="0.0;\(0.0\);\-"/>
    <numFmt numFmtId="167" formatCode="0.0%;\(0.0%\);\-"/>
    <numFmt numFmtId="168" formatCode="\$#,##0;&quot;($&quot;#,##0\);\-"/>
    <numFmt numFmtId="169" formatCode="\₹0.0\L;&quot;(₹&quot;0.0&quot;L)&quot;;\-"/>
    <numFmt numFmtId="170" formatCode="0.00"/>
    <numFmt numFmtId="171" formatCode="0"/>
    <numFmt numFmtId="172" formatCode="&quot;CAD &quot;#,##0"/>
    <numFmt numFmtId="173" formatCode="&quot;ZAR &quot;#,##0"/>
    <numFmt numFmtId="174" formatCode="0.0\x"/>
    <numFmt numFmtId="175" formatCode="General"/>
    <numFmt numFmtId="176" formatCode="#,##0.0"/>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sz val="10"/>
      <color rgb="FF008000"/>
      <name val="Arial"/>
      <family val="0"/>
      <charset val="1"/>
    </font>
    <font>
      <sz val="10"/>
      <color rgb="FF595959"/>
      <name val="Arial"/>
      <family val="0"/>
      <charset val="1"/>
    </font>
    <font>
      <b val="true"/>
      <sz val="10"/>
      <name val="Arial"/>
      <family val="0"/>
      <charset val="1"/>
    </font>
    <font>
      <b val="true"/>
      <sz val="10"/>
      <color rgb="FF008000"/>
      <name val="Arial"/>
      <family val="0"/>
      <charset val="1"/>
    </font>
    <font>
      <sz val="10"/>
      <color rgb="FF404040"/>
      <name val="Arial"/>
      <family val="0"/>
      <charset val="1"/>
    </font>
    <font>
      <b val="true"/>
      <sz val="11"/>
      <name val="Arial"/>
      <family val="0"/>
      <charset val="1"/>
    </font>
    <font>
      <sz val="10"/>
      <color rgb="FF0000FF"/>
      <name val="Arial"/>
      <family val="0"/>
      <charset val="1"/>
    </font>
    <font>
      <sz val="10"/>
      <name val="Arial"/>
      <family val="2"/>
    </font>
    <font>
      <sz val="10"/>
      <color rgb="FF000000"/>
      <name val="Arial"/>
      <family val="0"/>
      <charset val="1"/>
    </font>
    <font>
      <b val="true"/>
      <sz val="10"/>
      <color rgb="FF000000"/>
      <name val="Arial"/>
      <family val="0"/>
      <charset val="1"/>
    </font>
  </fonts>
  <fills count="6">
    <fill>
      <patternFill patternType="none"/>
    </fill>
    <fill>
      <patternFill patternType="gray125"/>
    </fill>
    <fill>
      <patternFill patternType="solid">
        <fgColor rgb="FF1F3A4D"/>
        <bgColor rgb="FF404040"/>
      </patternFill>
    </fill>
    <fill>
      <patternFill patternType="solid">
        <fgColor rgb="FFE3EAF0"/>
        <bgColor rgb="FFF2F2F2"/>
      </patternFill>
    </fill>
    <fill>
      <patternFill patternType="solid">
        <fgColor rgb="FFFFF2CC"/>
        <bgColor rgb="FFF2F2F2"/>
      </patternFill>
    </fill>
    <fill>
      <patternFill patternType="solid">
        <fgColor rgb="FFF2F2F2"/>
        <bgColor rgb="FFE3EAF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6" fontId="15"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70" fontId="15" fillId="4" borderId="0" xfId="0" applyFont="true" applyBorder="false" applyAlignment="false" applyProtection="false">
      <alignment horizontal="general" vertical="bottom" textRotation="0" wrapText="false" indent="0" shrinkToFit="false"/>
      <protection locked="true" hidden="false"/>
    </xf>
    <xf numFmtId="168" fontId="15" fillId="4" borderId="0" xfId="0" applyFont="true" applyBorder="false" applyAlignment="false" applyProtection="false">
      <alignment horizontal="general" vertical="bottom" textRotation="0" wrapText="false" indent="0" shrinkToFit="false"/>
      <protection locked="true" hidden="false"/>
    </xf>
    <xf numFmtId="171" fontId="15" fillId="4"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7" fontId="15" fillId="4"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15" fillId="4"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9" fontId="15" fillId="4" borderId="0" xfId="0" applyFont="true" applyBorder="false" applyAlignment="false" applyProtection="false">
      <alignment horizontal="general" vertical="bottom" textRotation="0" wrapText="false" indent="0" shrinkToFit="false"/>
      <protection locked="true" hidden="false"/>
    </xf>
    <xf numFmtId="172" fontId="15" fillId="4" borderId="0" xfId="0" applyFont="true" applyBorder="false" applyAlignment="false" applyProtection="false">
      <alignment horizontal="general" vertical="bottom" textRotation="0" wrapText="false" indent="0" shrinkToFit="false"/>
      <protection locked="true" hidden="false"/>
    </xf>
    <xf numFmtId="173" fontId="15" fillId="4"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74"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6" fontId="18" fillId="5"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xf numFmtId="165" fontId="18" fillId="4"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5" fontId="5" fillId="5"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11" fillId="5"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4D"/>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3EA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4D"/>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6"/>
    <col collapsed="false" customWidth="true" hidden="false" outlineLevel="0" max="3" min="3" style="0" width="28"/>
  </cols>
  <sheetData>
    <row r="1" customFormat="false" ht="17.35" hidden="false" customHeight="false" outlineLevel="0" collapsed="false">
      <c r="A1" s="1" t="s">
        <v>0</v>
      </c>
      <c r="B1" s="2"/>
      <c r="C1" s="2"/>
    </row>
    <row r="2" customFormat="false" ht="15" hidden="false" customHeight="false" outlineLevel="0" collapsed="false">
      <c r="A2" s="3" t="s">
        <v>1</v>
      </c>
      <c r="B2" s="2"/>
      <c r="C2" s="2"/>
    </row>
    <row r="3" customFormat="false" ht="15" hidden="false" customHeight="false" outlineLevel="0" collapsed="false">
      <c r="A3" s="2"/>
      <c r="B3" s="2"/>
      <c r="C3" s="2"/>
    </row>
    <row r="4" customFormat="false" ht="15" hidden="false" customHeight="false" outlineLevel="0" collapsed="false">
      <c r="A4" s="4" t="s">
        <v>2</v>
      </c>
      <c r="B4" s="4" t="s">
        <v>3</v>
      </c>
      <c r="C4" s="4" t="s">
        <v>4</v>
      </c>
    </row>
    <row r="5" customFormat="false" ht="15" hidden="false" customHeight="false" outlineLevel="0" collapsed="false">
      <c r="A5" s="5" t="s">
        <v>5</v>
      </c>
      <c r="B5" s="6" t="n">
        <f aca="false">Assumptions!$B$24</f>
        <v>73</v>
      </c>
      <c r="C5" s="7" t="s">
        <v>6</v>
      </c>
    </row>
    <row r="6" customFormat="false" ht="15" hidden="false" customHeight="false" outlineLevel="0" collapsed="false">
      <c r="A6" s="5" t="s">
        <v>7</v>
      </c>
      <c r="B6" s="6" t="n">
        <f aca="false">Capacity!B19</f>
        <v>55</v>
      </c>
      <c r="C6" s="7" t="s">
        <v>8</v>
      </c>
    </row>
    <row r="7" customFormat="false" ht="15" hidden="false" customHeight="false" outlineLevel="0" collapsed="false">
      <c r="A7" s="5" t="s">
        <v>9</v>
      </c>
      <c r="B7" s="6" t="n">
        <f aca="false">Capacity!B20</f>
        <v>8</v>
      </c>
      <c r="C7" s="7" t="s">
        <v>8</v>
      </c>
    </row>
    <row r="8" customFormat="false" ht="15" hidden="false" customHeight="false" outlineLevel="0" collapsed="false">
      <c r="A8" s="5" t="s">
        <v>10</v>
      </c>
      <c r="B8" s="8" t="n">
        <f aca="false">Capacity!B11</f>
        <v>61.75</v>
      </c>
      <c r="C8" s="7" t="s">
        <v>8</v>
      </c>
    </row>
    <row r="9" customFormat="false" ht="15" hidden="false" customHeight="false" outlineLevel="0" collapsed="false">
      <c r="A9" s="9" t="s">
        <v>11</v>
      </c>
      <c r="B9" s="10" t="n">
        <f aca="false">Capacity!B42+Capacity!B43</f>
        <v>3</v>
      </c>
      <c r="C9" s="7" t="s">
        <v>12</v>
      </c>
    </row>
    <row r="10" customFormat="false" ht="15" hidden="false" customHeight="false" outlineLevel="0" collapsed="false">
      <c r="A10" s="5" t="s">
        <v>13</v>
      </c>
      <c r="B10" s="11" t="n">
        <f aca="false">Capacity!E45</f>
        <v>0.700404858299595</v>
      </c>
      <c r="C10" s="7" t="s">
        <v>12</v>
      </c>
    </row>
    <row r="11" customFormat="false" ht="15" hidden="false" customHeight="false" outlineLevel="0" collapsed="false">
      <c r="A11" s="9" t="s">
        <v>14</v>
      </c>
      <c r="B11" s="10" t="n">
        <f aca="false">Capacity!B16</f>
        <v>5</v>
      </c>
      <c r="C11" s="7" t="s">
        <v>8</v>
      </c>
    </row>
    <row r="12" customFormat="false" ht="15" hidden="false" customHeight="false" outlineLevel="0" collapsed="false">
      <c r="A12" s="9" t="s">
        <v>15</v>
      </c>
      <c r="B12" s="10" t="n">
        <f aca="false">Capacity!B36</f>
        <v>7</v>
      </c>
      <c r="C12" s="7" t="s">
        <v>16</v>
      </c>
    </row>
    <row r="13" customFormat="false" ht="15" hidden="false" customHeight="false" outlineLevel="0" collapsed="false">
      <c r="A13" s="5" t="s">
        <v>17</v>
      </c>
      <c r="B13" s="6" t="n">
        <f aca="false">Capacity!B37</f>
        <v>2</v>
      </c>
      <c r="C13" s="7" t="s">
        <v>16</v>
      </c>
    </row>
    <row r="14" customFormat="false" ht="15" hidden="false" customHeight="false" outlineLevel="0" collapsed="false">
      <c r="A14" s="5" t="s">
        <v>18</v>
      </c>
      <c r="B14" s="12" t="n">
        <f aca="false">Seats!L14</f>
        <v>247116.867098366</v>
      </c>
      <c r="C14" s="7" t="s">
        <v>19</v>
      </c>
    </row>
    <row r="15" customFormat="false" ht="15" hidden="false" customHeight="false" outlineLevel="0" collapsed="false">
      <c r="A15" s="5" t="s">
        <v>20</v>
      </c>
      <c r="B15" s="13" t="n">
        <f aca="false">Seats!N14</f>
        <v>232.289855072464</v>
      </c>
      <c r="C15" s="7" t="s">
        <v>19</v>
      </c>
    </row>
    <row r="16" customFormat="false" ht="15" hidden="false" customHeight="false" outlineLevel="0" collapsed="false">
      <c r="A16" s="5" t="s">
        <v>21</v>
      </c>
      <c r="B16" s="11" t="n">
        <f aca="false">'Hiring Ramp'!D25</f>
        <v>0.416649338543721</v>
      </c>
      <c r="C16" s="7" t="s">
        <v>22</v>
      </c>
    </row>
    <row r="17" customFormat="false" ht="15" hidden="false" customHeight="false" outlineLevel="0" collapsed="false">
      <c r="A17" s="5" t="s">
        <v>23</v>
      </c>
      <c r="B17" s="11" t="n">
        <f aca="false">'Hiring Ramp'!G25</f>
        <v>0.954956169925826</v>
      </c>
      <c r="C17" s="7" t="s">
        <v>22</v>
      </c>
    </row>
    <row r="18" customFormat="false" ht="15" hidden="false" customHeight="false" outlineLevel="0" collapsed="false">
      <c r="A18" s="5" t="s">
        <v>24</v>
      </c>
      <c r="B18" s="13" t="n">
        <f aca="false">Assumptions!$B$38+Assumptions!$B$39</f>
        <v>25</v>
      </c>
      <c r="C18" s="7" t="s">
        <v>6</v>
      </c>
    </row>
    <row r="19" customFormat="false" ht="15" hidden="false" customHeight="false" outlineLevel="0" collapsed="false">
      <c r="A19" s="2"/>
      <c r="B19" s="2"/>
      <c r="C19" s="2"/>
    </row>
    <row r="20" customFormat="false" ht="15" hidden="false" customHeight="false" outlineLevel="0" collapsed="false">
      <c r="A20" s="9" t="s">
        <v>25</v>
      </c>
      <c r="B20" s="2"/>
      <c r="C20" s="2"/>
    </row>
    <row r="21" customFormat="false" ht="15" hidden="false" customHeight="false" outlineLevel="0" collapsed="false">
      <c r="A21" s="14" t="s">
        <v>26</v>
      </c>
      <c r="B21" s="2"/>
      <c r="C21" s="2"/>
    </row>
    <row r="22" customFormat="false" ht="15" hidden="false" customHeight="false" outlineLevel="0" collapsed="false">
      <c r="A22" s="14" t="s">
        <v>27</v>
      </c>
      <c r="B22" s="2"/>
      <c r="C22" s="2"/>
    </row>
    <row r="23" customFormat="false" ht="15" hidden="false" customHeight="false" outlineLevel="0" collapsed="false">
      <c r="A23" s="14" t="s">
        <v>28</v>
      </c>
      <c r="B23" s="2"/>
      <c r="C23" s="2"/>
    </row>
    <row r="24" customFormat="false" ht="15" hidden="false" customHeight="false" outlineLevel="0" collapsed="false">
      <c r="A24" s="14" t="s">
        <v>29</v>
      </c>
      <c r="B24" s="2"/>
      <c r="C2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6"/>
    <col collapsed="false" customWidth="true" hidden="false" outlineLevel="0" max="3" min="3" style="0" width="95"/>
  </cols>
  <sheetData>
    <row r="1" customFormat="false" ht="17.35" hidden="false" customHeight="false" outlineLevel="0" collapsed="false">
      <c r="A1" s="1" t="s">
        <v>6</v>
      </c>
      <c r="B1" s="2"/>
      <c r="C1" s="2"/>
    </row>
    <row r="2" customFormat="false" ht="15" hidden="false" customHeight="false" outlineLevel="0" collapsed="false">
      <c r="A2" s="3" t="s">
        <v>30</v>
      </c>
      <c r="B2" s="2"/>
      <c r="C2" s="2"/>
    </row>
    <row r="3" customFormat="false" ht="15" hidden="false" customHeight="false" outlineLevel="0" collapsed="false">
      <c r="A3" s="2"/>
      <c r="B3" s="2"/>
      <c r="C3" s="2"/>
    </row>
    <row r="4" customFormat="false" ht="15" hidden="false" customHeight="false" outlineLevel="0" collapsed="false">
      <c r="A4" s="4" t="s">
        <v>31</v>
      </c>
      <c r="B4" s="4" t="s">
        <v>32</v>
      </c>
      <c r="C4" s="4" t="s">
        <v>33</v>
      </c>
    </row>
    <row r="5" customFormat="false" ht="15" hidden="false" customHeight="false" outlineLevel="0" collapsed="false">
      <c r="A5" s="15" t="s">
        <v>34</v>
      </c>
      <c r="B5" s="16"/>
      <c r="C5" s="16"/>
    </row>
    <row r="6" customFormat="false" ht="35.05" hidden="false" customHeight="false" outlineLevel="0" collapsed="false">
      <c r="A6" s="5" t="s">
        <v>35</v>
      </c>
      <c r="B6" s="17" t="n">
        <v>13</v>
      </c>
      <c r="C6" s="18" t="s">
        <v>36</v>
      </c>
    </row>
    <row r="7" customFormat="false" ht="15" hidden="false" customHeight="false" outlineLevel="0" collapsed="false">
      <c r="A7" s="5" t="s">
        <v>37</v>
      </c>
      <c r="B7" s="19" t="n">
        <v>16</v>
      </c>
      <c r="C7" s="18" t="s">
        <v>38</v>
      </c>
    </row>
    <row r="8" customFormat="false" ht="15" hidden="false" customHeight="false" outlineLevel="0" collapsed="false">
      <c r="A8" s="5" t="s">
        <v>39</v>
      </c>
      <c r="B8" s="20" t="n">
        <v>1.5</v>
      </c>
      <c r="C8" s="18" t="s">
        <v>40</v>
      </c>
    </row>
    <row r="9" customFormat="false" ht="15" hidden="false" customHeight="false" outlineLevel="0" collapsed="false">
      <c r="A9" s="5" t="s">
        <v>41</v>
      </c>
      <c r="B9" s="20" t="n">
        <v>1</v>
      </c>
      <c r="C9" s="18" t="s">
        <v>42</v>
      </c>
    </row>
    <row r="10" customFormat="false" ht="15" hidden="false" customHeight="false" outlineLevel="0" collapsed="false">
      <c r="A10" s="5" t="s">
        <v>43</v>
      </c>
      <c r="B10" s="20" t="n">
        <v>0.75</v>
      </c>
      <c r="C10" s="18" t="s">
        <v>44</v>
      </c>
    </row>
    <row r="11" customFormat="false" ht="15" hidden="false" customHeight="false" outlineLevel="0" collapsed="false">
      <c r="A11" s="5" t="s">
        <v>45</v>
      </c>
      <c r="B11" s="21" t="n">
        <v>7000</v>
      </c>
      <c r="C11" s="18" t="s">
        <v>46</v>
      </c>
    </row>
    <row r="12" customFormat="false" ht="15" hidden="false" customHeight="false" outlineLevel="0" collapsed="false">
      <c r="A12" s="5" t="s">
        <v>47</v>
      </c>
      <c r="B12" s="21" t="n">
        <v>4000</v>
      </c>
      <c r="C12" s="18" t="s">
        <v>48</v>
      </c>
    </row>
    <row r="13" customFormat="false" ht="15" hidden="false" customHeight="false" outlineLevel="0" collapsed="false">
      <c r="A13" s="5" t="s">
        <v>49</v>
      </c>
      <c r="B13" s="22" t="n">
        <v>0.5</v>
      </c>
      <c r="C13" s="18" t="s">
        <v>50</v>
      </c>
    </row>
    <row r="14" customFormat="false" ht="23.85" hidden="false" customHeight="false" outlineLevel="0" collapsed="false">
      <c r="A14" s="5" t="s">
        <v>51</v>
      </c>
      <c r="B14" s="20" t="n">
        <v>0.5</v>
      </c>
      <c r="C14" s="18" t="s">
        <v>52</v>
      </c>
    </row>
    <row r="15" customFormat="false" ht="23.85" hidden="false" customHeight="false" outlineLevel="0" collapsed="false">
      <c r="A15" s="5" t="s">
        <v>53</v>
      </c>
      <c r="B15" s="17" t="n">
        <v>6</v>
      </c>
      <c r="C15" s="18" t="s">
        <v>54</v>
      </c>
    </row>
    <row r="16" customFormat="false" ht="23.85" hidden="false" customHeight="false" outlineLevel="0" collapsed="false">
      <c r="A16" s="5" t="s">
        <v>55</v>
      </c>
      <c r="B16" s="23" t="n">
        <v>12000</v>
      </c>
      <c r="C16" s="18" t="s">
        <v>56</v>
      </c>
    </row>
    <row r="17" customFormat="false" ht="15" hidden="false" customHeight="false" outlineLevel="0" collapsed="false">
      <c r="A17" s="15" t="s">
        <v>57</v>
      </c>
      <c r="B17" s="16"/>
      <c r="C17" s="16"/>
    </row>
    <row r="18" customFormat="false" ht="15" hidden="false" customHeight="false" outlineLevel="0" collapsed="false">
      <c r="A18" s="5" t="s">
        <v>58</v>
      </c>
      <c r="B18" s="24" t="n">
        <v>0</v>
      </c>
      <c r="C18" s="18" t="s">
        <v>59</v>
      </c>
    </row>
    <row r="19" customFormat="false" ht="15" hidden="false" customHeight="false" outlineLevel="0" collapsed="false">
      <c r="A19" s="5" t="s">
        <v>60</v>
      </c>
      <c r="B19" s="25" t="n">
        <v>10</v>
      </c>
      <c r="C19" s="18" t="s">
        <v>61</v>
      </c>
    </row>
    <row r="20" customFormat="false" ht="15" hidden="false" customHeight="false" outlineLevel="0" collapsed="false">
      <c r="A20" s="5" t="s">
        <v>62</v>
      </c>
      <c r="B20" s="21" t="n">
        <v>50000</v>
      </c>
      <c r="C20" s="18" t="s">
        <v>61</v>
      </c>
    </row>
    <row r="21" customFormat="false" ht="15" hidden="false" customHeight="false" outlineLevel="0" collapsed="false">
      <c r="A21" s="5" t="s">
        <v>63</v>
      </c>
      <c r="B21" s="20" t="n">
        <v>1</v>
      </c>
      <c r="C21" s="18" t="s">
        <v>64</v>
      </c>
    </row>
    <row r="22" customFormat="false" ht="15" hidden="false" customHeight="false" outlineLevel="0" collapsed="false">
      <c r="A22" s="5" t="s">
        <v>65</v>
      </c>
      <c r="B22" s="26" t="n">
        <v>0.3</v>
      </c>
      <c r="C22" s="18" t="s">
        <v>66</v>
      </c>
    </row>
    <row r="23" customFormat="false" ht="15" hidden="false" customHeight="false" outlineLevel="0" collapsed="false">
      <c r="A23" s="15" t="s">
        <v>67</v>
      </c>
      <c r="B23" s="16"/>
      <c r="C23" s="16"/>
    </row>
    <row r="24" customFormat="false" ht="15" hidden="false" customHeight="false" outlineLevel="0" collapsed="false">
      <c r="A24" s="5" t="s">
        <v>68</v>
      </c>
      <c r="B24" s="27" t="n">
        <f aca="false">COUNTA('Client Book'!A6:A68)+B19</f>
        <v>73</v>
      </c>
      <c r="C24" s="18" t="s">
        <v>69</v>
      </c>
    </row>
    <row r="25" customFormat="false" ht="15" hidden="false" customHeight="false" outlineLevel="0" collapsed="false">
      <c r="A25" s="5" t="s">
        <v>70</v>
      </c>
      <c r="B25" s="28" t="n">
        <v>100</v>
      </c>
      <c r="C25" s="18" t="s">
        <v>71</v>
      </c>
    </row>
    <row r="26" customFormat="false" ht="15" hidden="false" customHeight="false" outlineLevel="0" collapsed="false">
      <c r="A26" s="5" t="s">
        <v>72</v>
      </c>
      <c r="B26" s="28" t="n">
        <v>2</v>
      </c>
      <c r="C26" s="18" t="s">
        <v>73</v>
      </c>
    </row>
    <row r="27" customFormat="false" ht="15" hidden="false" customHeight="false" outlineLevel="0" collapsed="false">
      <c r="A27" s="5" t="s">
        <v>74</v>
      </c>
      <c r="B27" s="25" t="n">
        <v>4</v>
      </c>
      <c r="C27" s="18" t="s">
        <v>75</v>
      </c>
    </row>
    <row r="28" customFormat="false" ht="15" hidden="false" customHeight="false" outlineLevel="0" collapsed="false">
      <c r="A28" s="15" t="s">
        <v>76</v>
      </c>
      <c r="B28" s="16"/>
      <c r="C28" s="16"/>
    </row>
    <row r="29" customFormat="false" ht="15" hidden="false" customHeight="false" outlineLevel="0" collapsed="false">
      <c r="A29" s="5" t="s">
        <v>77</v>
      </c>
      <c r="B29" s="29" t="n">
        <v>0.4</v>
      </c>
      <c r="C29" s="18" t="s">
        <v>78</v>
      </c>
    </row>
    <row r="30" customFormat="false" ht="15" hidden="false" customHeight="false" outlineLevel="0" collapsed="false">
      <c r="A30" s="5" t="s">
        <v>79</v>
      </c>
      <c r="B30" s="29" t="n">
        <v>0.7</v>
      </c>
      <c r="C30" s="18" t="s">
        <v>80</v>
      </c>
    </row>
    <row r="31" customFormat="false" ht="15" hidden="false" customHeight="false" outlineLevel="0" collapsed="false">
      <c r="A31" s="5" t="s">
        <v>81</v>
      </c>
      <c r="B31" s="29" t="n">
        <v>1</v>
      </c>
      <c r="C31" s="18" t="s">
        <v>82</v>
      </c>
    </row>
    <row r="32" customFormat="false" ht="15" hidden="false" customHeight="false" outlineLevel="0" collapsed="false">
      <c r="A32" s="15" t="s">
        <v>83</v>
      </c>
      <c r="B32" s="16"/>
      <c r="C32" s="16"/>
    </row>
    <row r="33" customFormat="false" ht="15" hidden="false" customHeight="false" outlineLevel="0" collapsed="false">
      <c r="A33" s="5" t="s">
        <v>84</v>
      </c>
      <c r="B33" s="20" t="n">
        <v>94</v>
      </c>
      <c r="C33" s="18" t="s">
        <v>85</v>
      </c>
    </row>
    <row r="34" customFormat="false" ht="15" hidden="false" customHeight="false" outlineLevel="0" collapsed="false">
      <c r="A34" s="5" t="s">
        <v>86</v>
      </c>
      <c r="B34" s="20" t="n">
        <v>1.38</v>
      </c>
      <c r="C34" s="18" t="s">
        <v>87</v>
      </c>
    </row>
    <row r="35" customFormat="false" ht="15" hidden="false" customHeight="false" outlineLevel="0" collapsed="false">
      <c r="A35" s="5" t="s">
        <v>88</v>
      </c>
      <c r="B35" s="20" t="n">
        <v>18</v>
      </c>
      <c r="C35" s="18" t="s">
        <v>87</v>
      </c>
    </row>
    <row r="36" customFormat="false" ht="15" hidden="false" customHeight="false" outlineLevel="0" collapsed="false">
      <c r="A36" s="5" t="s">
        <v>89</v>
      </c>
      <c r="B36" s="29" t="n">
        <v>0.04</v>
      </c>
      <c r="C36" s="18" t="s">
        <v>90</v>
      </c>
    </row>
    <row r="37" customFormat="false" ht="15" hidden="false" customHeight="false" outlineLevel="0" collapsed="false">
      <c r="A37" s="5" t="s">
        <v>91</v>
      </c>
      <c r="B37" s="29" t="n">
        <v>0.12</v>
      </c>
      <c r="C37" s="18" t="s">
        <v>92</v>
      </c>
    </row>
    <row r="38" customFormat="false" ht="15" hidden="false" customHeight="false" outlineLevel="0" collapsed="false">
      <c r="A38" s="5" t="s">
        <v>93</v>
      </c>
      <c r="B38" s="30" t="n">
        <v>15</v>
      </c>
      <c r="C38" s="18" t="s">
        <v>94</v>
      </c>
    </row>
    <row r="39" customFormat="false" ht="15" hidden="false" customHeight="false" outlineLevel="0" collapsed="false">
      <c r="A39" s="5" t="s">
        <v>95</v>
      </c>
      <c r="B39" s="30" t="n">
        <v>10</v>
      </c>
      <c r="C39" s="18" t="s">
        <v>96</v>
      </c>
    </row>
    <row r="40" customFormat="false" ht="15" hidden="false" customHeight="false" outlineLevel="0" collapsed="false">
      <c r="A40" s="5" t="s">
        <v>97</v>
      </c>
      <c r="B40" s="31" t="n">
        <v>75000</v>
      </c>
      <c r="C40" s="18" t="s">
        <v>98</v>
      </c>
    </row>
    <row r="41" customFormat="false" ht="15" hidden="false" customHeight="false" outlineLevel="0" collapsed="false">
      <c r="A41" s="5" t="s">
        <v>99</v>
      </c>
      <c r="B41" s="31" t="n">
        <v>25000</v>
      </c>
      <c r="C41" s="18" t="s">
        <v>100</v>
      </c>
    </row>
    <row r="42" customFormat="false" ht="15" hidden="false" customHeight="false" outlineLevel="0" collapsed="false">
      <c r="A42" s="5" t="s">
        <v>101</v>
      </c>
      <c r="B42" s="32" t="n">
        <v>600000</v>
      </c>
      <c r="C42" s="18" t="s">
        <v>102</v>
      </c>
    </row>
    <row r="43" customFormat="false" ht="15" hidden="false" customHeight="false" outlineLevel="0" collapsed="false">
      <c r="A43" s="5" t="s">
        <v>103</v>
      </c>
      <c r="B43" s="32" t="n">
        <v>200000</v>
      </c>
      <c r="C43" s="18" t="s">
        <v>100</v>
      </c>
    </row>
    <row r="44" customFormat="false" ht="15" hidden="false" customHeight="false" outlineLevel="0" collapsed="false">
      <c r="A44" s="5" t="s">
        <v>104</v>
      </c>
      <c r="B44" s="30" t="n">
        <v>0</v>
      </c>
      <c r="C44" s="18" t="s">
        <v>105</v>
      </c>
    </row>
    <row r="45" customFormat="false" ht="15" hidden="false" customHeight="false" outlineLevel="0" collapsed="false">
      <c r="A45" s="5" t="s">
        <v>106</v>
      </c>
      <c r="B45" s="33" t="s">
        <v>107</v>
      </c>
      <c r="C45" s="18" t="s">
        <v>108</v>
      </c>
    </row>
    <row r="46" customFormat="false" ht="15" hidden="false" customHeight="false" outlineLevel="0" collapsed="false">
      <c r="A46" s="15" t="s">
        <v>109</v>
      </c>
      <c r="B46" s="16"/>
      <c r="C46" s="16"/>
    </row>
    <row r="47" customFormat="false" ht="15" hidden="false" customHeight="false" outlineLevel="0" collapsed="false">
      <c r="A47" s="5" t="s">
        <v>110</v>
      </c>
      <c r="B47" s="23" t="n">
        <v>6000</v>
      </c>
      <c r="C47" s="18" t="s">
        <v>111</v>
      </c>
    </row>
    <row r="48" customFormat="false" ht="15" hidden="false" customHeight="false" outlineLevel="0" collapsed="false">
      <c r="A48" s="5" t="s">
        <v>112</v>
      </c>
      <c r="B48" s="26" t="n">
        <v>0.94</v>
      </c>
      <c r="C48" s="18" t="s">
        <v>113</v>
      </c>
    </row>
    <row r="49" customFormat="false" ht="15" hidden="false" customHeight="false" outlineLevel="0" collapsed="false">
      <c r="A49" s="5" t="s">
        <v>114</v>
      </c>
      <c r="B49" s="19" t="n">
        <v>8.5</v>
      </c>
      <c r="C49" s="18" t="s">
        <v>115</v>
      </c>
    </row>
    <row r="50" customFormat="false" ht="15" hidden="false" customHeight="false" outlineLevel="0" collapsed="false">
      <c r="A50" s="5" t="s">
        <v>116</v>
      </c>
      <c r="B50" s="25" t="n">
        <v>2</v>
      </c>
      <c r="C50" s="18" t="s">
        <v>117</v>
      </c>
    </row>
    <row r="51" customFormat="false" ht="15" hidden="false" customHeight="false" outlineLevel="0" collapsed="false">
      <c r="A51" s="15" t="s">
        <v>118</v>
      </c>
      <c r="B51" s="16"/>
      <c r="C51" s="16"/>
    </row>
    <row r="52" customFormat="false" ht="15" hidden="false" customHeight="false" outlineLevel="0" collapsed="false">
      <c r="A52" s="5" t="s">
        <v>119</v>
      </c>
      <c r="B52" s="29" t="n">
        <v>0.4</v>
      </c>
      <c r="C52" s="18" t="s">
        <v>120</v>
      </c>
    </row>
    <row r="53" customFormat="false" ht="15" hidden="false" customHeight="false" outlineLevel="0" collapsed="false">
      <c r="A53" s="5" t="s">
        <v>121</v>
      </c>
      <c r="B53" s="29" t="n">
        <v>0.4</v>
      </c>
      <c r="C53" s="18" t="s">
        <v>122</v>
      </c>
    </row>
    <row r="54" customFormat="false" ht="15" hidden="false" customHeight="false" outlineLevel="0" collapsed="false">
      <c r="A54" s="5" t="s">
        <v>123</v>
      </c>
      <c r="B54" s="29" t="n">
        <v>0.2</v>
      </c>
      <c r="C54" s="18" t="s">
        <v>124</v>
      </c>
    </row>
    <row r="55" customFormat="false" ht="15" hidden="false" customHeight="false" outlineLevel="0" collapsed="false">
      <c r="A55" s="5" t="s">
        <v>125</v>
      </c>
      <c r="B55" s="29" t="n">
        <v>0.9</v>
      </c>
      <c r="C55" s="18" t="s">
        <v>126</v>
      </c>
    </row>
    <row r="56" customFormat="false" ht="15" hidden="false" customHeight="false" outlineLevel="0" collapsed="false">
      <c r="A56" s="5" t="s">
        <v>127</v>
      </c>
      <c r="B56" s="34" t="n">
        <v>2</v>
      </c>
      <c r="C56" s="18" t="s">
        <v>128</v>
      </c>
    </row>
    <row r="57" customFormat="false" ht="15" hidden="false" customHeight="false" outlineLevel="0" collapsed="false">
      <c r="A57" s="15" t="s">
        <v>129</v>
      </c>
      <c r="B57" s="16"/>
      <c r="C57" s="16"/>
    </row>
    <row r="58" customFormat="false" ht="15" hidden="false" customHeight="false" outlineLevel="0" collapsed="false">
      <c r="A58" s="5" t="s">
        <v>130</v>
      </c>
      <c r="B58" s="24" t="n">
        <v>3</v>
      </c>
      <c r="C58" s="18"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4" min="3" style="0" width="13"/>
    <col collapsed="false" customWidth="true" hidden="false" outlineLevel="0" max="5" min="5" style="0" width="20"/>
    <col collapsed="false" customWidth="true" hidden="false" outlineLevel="0" max="6" min="6" style="0" width="12"/>
    <col collapsed="false" customWidth="true" hidden="false" outlineLevel="0" max="7" min="7" style="0" width="13"/>
    <col collapsed="false" customWidth="true" hidden="false" outlineLevel="0" max="8" min="8" style="0" width="10"/>
    <col collapsed="false" customWidth="true" hidden="false" outlineLevel="0" max="9" min="9" style="0" width="18"/>
    <col collapsed="false" customWidth="true" hidden="false" outlineLevel="0" max="10" min="10" style="0" width="17"/>
    <col collapsed="false" customWidth="true" hidden="false" outlineLevel="0" max="11" min="11" style="0" width="11"/>
    <col collapsed="false" customWidth="true" hidden="false" outlineLevel="0" max="12" min="12" style="0" width="8"/>
    <col collapsed="false" customWidth="true" hidden="false" outlineLevel="0" max="13" min="13" style="0" width="9"/>
    <col collapsed="false" customWidth="true" hidden="false" outlineLevel="0" max="14" min="14" style="0" width="12"/>
    <col collapsed="false" customWidth="true" hidden="false" outlineLevel="0" max="15" min="15" style="0" width="9"/>
    <col collapsed="false" customWidth="true" hidden="false" outlineLevel="0" max="16" min="16" style="0" width="12"/>
    <col collapsed="false" customWidth="true" hidden="false" outlineLevel="0" max="17" min="17" style="0" width="31"/>
  </cols>
  <sheetData>
    <row r="1" customFormat="false" ht="17.35" hidden="false" customHeight="false" outlineLevel="0" collapsed="false">
      <c r="A1" s="1" t="s">
        <v>132</v>
      </c>
      <c r="B1" s="2"/>
      <c r="C1" s="2"/>
      <c r="D1" s="2"/>
      <c r="E1" s="2"/>
      <c r="F1" s="2"/>
      <c r="G1" s="2"/>
      <c r="H1" s="2"/>
      <c r="I1" s="2"/>
      <c r="J1" s="2"/>
      <c r="K1" s="2"/>
      <c r="L1" s="2"/>
      <c r="M1" s="2"/>
      <c r="N1" s="2"/>
      <c r="O1" s="2"/>
      <c r="P1" s="2"/>
      <c r="Q1" s="2"/>
    </row>
    <row r="2" customFormat="false" ht="15" hidden="false" customHeight="false" outlineLevel="0" collapsed="false">
      <c r="A2" s="3" t="s">
        <v>133</v>
      </c>
      <c r="B2" s="2"/>
      <c r="C2" s="2"/>
      <c r="D2" s="2"/>
      <c r="E2" s="2"/>
      <c r="F2" s="2"/>
      <c r="G2" s="2"/>
      <c r="H2" s="2"/>
      <c r="I2" s="2"/>
      <c r="J2" s="2"/>
      <c r="K2" s="2"/>
      <c r="L2" s="2"/>
      <c r="M2" s="2"/>
      <c r="N2" s="2"/>
      <c r="O2" s="2"/>
      <c r="P2" s="2"/>
      <c r="Q2" s="2"/>
    </row>
    <row r="3" customFormat="false" ht="15" hidden="false" customHeight="false" outlineLevel="0" collapsed="false">
      <c r="A3" s="3" t="s">
        <v>134</v>
      </c>
      <c r="B3" s="2"/>
      <c r="C3" s="2"/>
      <c r="D3" s="2"/>
      <c r="E3" s="2"/>
      <c r="F3" s="2"/>
      <c r="G3" s="2"/>
      <c r="H3" s="2"/>
      <c r="I3" s="2"/>
      <c r="J3" s="2"/>
      <c r="K3" s="2"/>
      <c r="L3" s="2"/>
      <c r="M3" s="2"/>
      <c r="N3" s="2"/>
      <c r="O3" s="2"/>
      <c r="P3" s="2"/>
      <c r="Q3" s="2"/>
    </row>
    <row r="4" customFormat="false" ht="15" hidden="false" customHeight="false" outlineLevel="0" collapsed="false">
      <c r="A4" s="2"/>
      <c r="B4" s="2"/>
      <c r="C4" s="2"/>
      <c r="D4" s="2"/>
      <c r="E4" s="2"/>
      <c r="F4" s="2"/>
      <c r="G4" s="2"/>
      <c r="H4" s="2"/>
      <c r="I4" s="2"/>
      <c r="J4" s="2"/>
      <c r="K4" s="2"/>
      <c r="L4" s="2"/>
      <c r="M4" s="2"/>
      <c r="N4" s="2"/>
      <c r="O4" s="2"/>
      <c r="P4" s="2"/>
      <c r="Q4" s="2"/>
    </row>
    <row r="5" customFormat="false" ht="46.25" hidden="false" customHeight="false" outlineLevel="0" collapsed="false">
      <c r="A5" s="4" t="s">
        <v>135</v>
      </c>
      <c r="B5" s="4" t="s">
        <v>136</v>
      </c>
      <c r="C5" s="4" t="s">
        <v>137</v>
      </c>
      <c r="D5" s="4" t="s">
        <v>138</v>
      </c>
      <c r="E5" s="4" t="s">
        <v>139</v>
      </c>
      <c r="F5" s="4" t="s">
        <v>140</v>
      </c>
      <c r="G5" s="4" t="s">
        <v>141</v>
      </c>
      <c r="H5" s="4" t="s">
        <v>142</v>
      </c>
      <c r="I5" s="4" t="s">
        <v>143</v>
      </c>
      <c r="J5" s="4" t="s">
        <v>144</v>
      </c>
      <c r="K5" s="4" t="s">
        <v>145</v>
      </c>
      <c r="L5" s="4" t="s">
        <v>146</v>
      </c>
      <c r="M5" s="4" t="s">
        <v>147</v>
      </c>
      <c r="N5" s="4" t="s">
        <v>148</v>
      </c>
      <c r="O5" s="4" t="s">
        <v>149</v>
      </c>
      <c r="P5" s="4" t="s">
        <v>150</v>
      </c>
      <c r="Q5" s="4" t="s">
        <v>151</v>
      </c>
    </row>
    <row r="6" customFormat="false" ht="15" hidden="false" customHeight="false" outlineLevel="0" collapsed="false">
      <c r="A6" s="5" t="s">
        <v>152</v>
      </c>
      <c r="B6" s="5" t="s">
        <v>153</v>
      </c>
      <c r="C6" s="5" t="s">
        <v>154</v>
      </c>
      <c r="D6" s="5" t="s">
        <v>155</v>
      </c>
      <c r="E6" s="5" t="s">
        <v>156</v>
      </c>
      <c r="F6" s="5" t="s">
        <v>157</v>
      </c>
      <c r="G6" s="5" t="str">
        <f aca="false">IF(OR(F6="US",F6="US + Canada"),"US + Canada",IF(F6="Untagged","Untagged","India + RoW"))</f>
        <v>India + RoW</v>
      </c>
      <c r="H6" s="21" t="n">
        <v>5000</v>
      </c>
      <c r="I6" s="35" t="s">
        <v>158</v>
      </c>
      <c r="J6" s="35"/>
      <c r="K6" s="5" t="str">
        <f aca="false">IF(H6&gt;=Assumptions!$B$11,"Enterprise",IF(H6&gt;=Assumptions!$B$12,"Mid","Starter"))</f>
        <v>Mid</v>
      </c>
      <c r="L6" s="36" t="n">
        <f aca="false">IF(K6="Enterprise",Assumptions!$B$8,IF(K6="Mid",Assumptions!$B$9,Assumptions!$B$10))</f>
        <v>1</v>
      </c>
      <c r="M6" s="5" t="n">
        <f aca="false">COUNTIFS($A$6:$A$68,A6,$H$6:$H$68,"&gt;"&amp;H6)+COUNTIFS($A$5:A5,A6,$H$5:H5,H6)</f>
        <v>0</v>
      </c>
      <c r="N6" s="5" t="str">
        <f aca="false">IF(M6=0,"Primary line","Second line")</f>
        <v>Primary line</v>
      </c>
      <c r="O6" s="36" t="n">
        <f aca="false">L6*IF(M6=0,1,Assumptions!$B$13)+IF(I6="Signed, not started",Assumptions!$B$14,0)</f>
        <v>1</v>
      </c>
      <c r="P6" s="37" t="n">
        <f aca="false">SUMIFS($H$6:$H$68,$A$6:$A$68,A6)</f>
        <v>5000</v>
      </c>
      <c r="Q6" s="5" t="str">
        <f aca="false">IF(P6&gt;=Assumptions!$B$16,"Head of AM (Gayu)",IF(M6&gt;0,"Same AM as the primary line",IF(G6="US + Canada","AM, US + Canada (test hire)",IF(C6="Paid media","AM, Paid Media, India + RoW","AM, SEO and GEO, India + RoW"))))</f>
        <v>AM, Paid Media, India + RoW</v>
      </c>
    </row>
    <row r="7" customFormat="false" ht="15" hidden="false" customHeight="false" outlineLevel="0" collapsed="false">
      <c r="A7" s="5" t="s">
        <v>159</v>
      </c>
      <c r="B7" s="5" t="s">
        <v>159</v>
      </c>
      <c r="C7" s="5" t="s">
        <v>154</v>
      </c>
      <c r="D7" s="5" t="s">
        <v>155</v>
      </c>
      <c r="E7" s="5" t="s">
        <v>160</v>
      </c>
      <c r="F7" s="5" t="s">
        <v>161</v>
      </c>
      <c r="G7" s="5" t="str">
        <f aca="false">IF(OR(F7="US",F7="US + Canada"),"US + Canada",IF(F7="Untagged","Untagged","India + RoW"))</f>
        <v>US + Canada</v>
      </c>
      <c r="H7" s="21" t="n">
        <v>4000</v>
      </c>
      <c r="I7" s="35" t="s">
        <v>158</v>
      </c>
      <c r="J7" s="35"/>
      <c r="K7" s="5" t="str">
        <f aca="false">IF(H7&gt;=Assumptions!$B$11,"Enterprise",IF(H7&gt;=Assumptions!$B$12,"Mid","Starter"))</f>
        <v>Mid</v>
      </c>
      <c r="L7" s="36" t="n">
        <f aca="false">IF(K7="Enterprise",Assumptions!$B$8,IF(K7="Mid",Assumptions!$B$9,Assumptions!$B$10))</f>
        <v>1</v>
      </c>
      <c r="M7" s="5" t="n">
        <f aca="false">COUNTIFS($A$6:$A$68,A7,$H$6:$H$68,"&gt;"&amp;H7)+COUNTIFS($A$5:A6,A7,$H$5:H6,H7)</f>
        <v>0</v>
      </c>
      <c r="N7" s="5" t="str">
        <f aca="false">IF(M7=0,"Primary line","Second line")</f>
        <v>Primary line</v>
      </c>
      <c r="O7" s="36" t="n">
        <f aca="false">L7*IF(M7=0,1,Assumptions!$B$13)+IF(I7="Signed, not started",Assumptions!$B$14,0)</f>
        <v>1</v>
      </c>
      <c r="P7" s="37" t="n">
        <f aca="false">SUMIFS($H$6:$H$68,$A$6:$A$68,A7)</f>
        <v>4000</v>
      </c>
      <c r="Q7" s="5" t="str">
        <f aca="false">IF(P7&gt;=Assumptions!$B$16,"Head of AM (Gayu)",IF(M7&gt;0,"Same AM as the primary line",IF(G7="US + Canada","AM, US + Canada (test hire)",IF(C7="Paid media","AM, Paid Media, India + RoW","AM, SEO and GEO, India + RoW"))))</f>
        <v>AM, US + Canada (test hire)</v>
      </c>
    </row>
    <row r="8" customFormat="false" ht="15" hidden="false" customHeight="false" outlineLevel="0" collapsed="false">
      <c r="A8" s="5" t="s">
        <v>162</v>
      </c>
      <c r="B8" s="5" t="s">
        <v>163</v>
      </c>
      <c r="C8" s="5" t="s">
        <v>154</v>
      </c>
      <c r="D8" s="5" t="s">
        <v>155</v>
      </c>
      <c r="E8" s="5" t="s">
        <v>156</v>
      </c>
      <c r="F8" s="5" t="s">
        <v>157</v>
      </c>
      <c r="G8" s="5" t="str">
        <f aca="false">IF(OR(F8="US",F8="US + Canada"),"US + Canada",IF(F8="Untagged","Untagged","India + RoW"))</f>
        <v>India + RoW</v>
      </c>
      <c r="H8" s="21" t="n">
        <v>5000</v>
      </c>
      <c r="I8" s="35" t="s">
        <v>158</v>
      </c>
      <c r="J8" s="35"/>
      <c r="K8" s="5" t="str">
        <f aca="false">IF(H8&gt;=Assumptions!$B$11,"Enterprise",IF(H8&gt;=Assumptions!$B$12,"Mid","Starter"))</f>
        <v>Mid</v>
      </c>
      <c r="L8" s="36" t="n">
        <f aca="false">IF(K8="Enterprise",Assumptions!$B$8,IF(K8="Mid",Assumptions!$B$9,Assumptions!$B$10))</f>
        <v>1</v>
      </c>
      <c r="M8" s="5" t="n">
        <f aca="false">COUNTIFS($A$6:$A$68,A8,$H$6:$H$68,"&gt;"&amp;H8)+COUNTIFS($A$5:A7,A8,$H$5:H7,H8)</f>
        <v>0</v>
      </c>
      <c r="N8" s="5" t="str">
        <f aca="false">IF(M8=0,"Primary line","Second line")</f>
        <v>Primary line</v>
      </c>
      <c r="O8" s="36" t="n">
        <f aca="false">L8*IF(M8=0,1,Assumptions!$B$13)+IF(I8="Signed, not started",Assumptions!$B$14,0)</f>
        <v>1</v>
      </c>
      <c r="P8" s="37" t="n">
        <f aca="false">SUMIFS($H$6:$H$68,$A$6:$A$68,A8)</f>
        <v>5000</v>
      </c>
      <c r="Q8" s="5" t="str">
        <f aca="false">IF(P8&gt;=Assumptions!$B$16,"Head of AM (Gayu)",IF(M8&gt;0,"Same AM as the primary line",IF(G8="US + Canada","AM, US + Canada (test hire)",IF(C8="Paid media","AM, Paid Media, India + RoW","AM, SEO and GEO, India + RoW"))))</f>
        <v>AM, Paid Media, India + RoW</v>
      </c>
    </row>
    <row r="9" customFormat="false" ht="15" hidden="false" customHeight="false" outlineLevel="0" collapsed="false">
      <c r="A9" s="5" t="s">
        <v>164</v>
      </c>
      <c r="B9" s="5" t="s">
        <v>164</v>
      </c>
      <c r="C9" s="5" t="s">
        <v>154</v>
      </c>
      <c r="D9" s="5" t="s">
        <v>155</v>
      </c>
      <c r="E9" s="5" t="s">
        <v>160</v>
      </c>
      <c r="F9" s="5" t="s">
        <v>161</v>
      </c>
      <c r="G9" s="5" t="str">
        <f aca="false">IF(OR(F9="US",F9="US + Canada"),"US + Canada",IF(F9="Untagged","Untagged","India + RoW"))</f>
        <v>US + Canada</v>
      </c>
      <c r="H9" s="21" t="n">
        <v>5500</v>
      </c>
      <c r="I9" s="35" t="s">
        <v>158</v>
      </c>
      <c r="J9" s="35"/>
      <c r="K9" s="5" t="str">
        <f aca="false">IF(H9&gt;=Assumptions!$B$11,"Enterprise",IF(H9&gt;=Assumptions!$B$12,"Mid","Starter"))</f>
        <v>Mid</v>
      </c>
      <c r="L9" s="36" t="n">
        <f aca="false">IF(K9="Enterprise",Assumptions!$B$8,IF(K9="Mid",Assumptions!$B$9,Assumptions!$B$10))</f>
        <v>1</v>
      </c>
      <c r="M9" s="5" t="n">
        <f aca="false">COUNTIFS($A$6:$A$68,A9,$H$6:$H$68,"&gt;"&amp;H9)+COUNTIFS($A$5:A8,A9,$H$5:H8,H9)</f>
        <v>0</v>
      </c>
      <c r="N9" s="5" t="str">
        <f aca="false">IF(M9=0,"Primary line","Second line")</f>
        <v>Primary line</v>
      </c>
      <c r="O9" s="36" t="n">
        <f aca="false">L9*IF(M9=0,1,Assumptions!$B$13)+IF(I9="Signed, not started",Assumptions!$B$14,0)</f>
        <v>1</v>
      </c>
      <c r="P9" s="37" t="n">
        <f aca="false">SUMIFS($H$6:$H$68,$A$6:$A$68,A9)</f>
        <v>5500</v>
      </c>
      <c r="Q9" s="5" t="str">
        <f aca="false">IF(P9&gt;=Assumptions!$B$16,"Head of AM (Gayu)",IF(M9&gt;0,"Same AM as the primary line",IF(G9="US + Canada","AM, US + Canada (test hire)",IF(C9="Paid media","AM, Paid Media, India + RoW","AM, SEO and GEO, India + RoW"))))</f>
        <v>AM, US + Canada (test hire)</v>
      </c>
    </row>
    <row r="10" customFormat="false" ht="15" hidden="false" customHeight="false" outlineLevel="0" collapsed="false">
      <c r="A10" s="5" t="s">
        <v>165</v>
      </c>
      <c r="B10" s="5" t="s">
        <v>165</v>
      </c>
      <c r="C10" s="5" t="s">
        <v>154</v>
      </c>
      <c r="D10" s="5" t="s">
        <v>155</v>
      </c>
      <c r="E10" s="5" t="s">
        <v>160</v>
      </c>
      <c r="F10" s="5" t="s">
        <v>166</v>
      </c>
      <c r="G10" s="5" t="str">
        <f aca="false">IF(OR(F10="US",F10="US + Canada"),"US + Canada",IF(F10="Untagged","Untagged","India + RoW"))</f>
        <v>India + RoW</v>
      </c>
      <c r="H10" s="21" t="n">
        <v>4950</v>
      </c>
      <c r="I10" s="35" t="s">
        <v>158</v>
      </c>
      <c r="J10" s="35"/>
      <c r="K10" s="5" t="str">
        <f aca="false">IF(H10&gt;=Assumptions!$B$11,"Enterprise",IF(H10&gt;=Assumptions!$B$12,"Mid","Starter"))</f>
        <v>Mid</v>
      </c>
      <c r="L10" s="36" t="n">
        <f aca="false">IF(K10="Enterprise",Assumptions!$B$8,IF(K10="Mid",Assumptions!$B$9,Assumptions!$B$10))</f>
        <v>1</v>
      </c>
      <c r="M10" s="5" t="n">
        <f aca="false">COUNTIFS($A$6:$A$68,A10,$H$6:$H$68,"&gt;"&amp;H10)+COUNTIFS($A$5:A9,A10,$H$5:H9,H10)</f>
        <v>0</v>
      </c>
      <c r="N10" s="5" t="str">
        <f aca="false">IF(M10=0,"Primary line","Second line")</f>
        <v>Primary line</v>
      </c>
      <c r="O10" s="36" t="n">
        <f aca="false">L10*IF(M10=0,1,Assumptions!$B$13)+IF(I10="Signed, not started",Assumptions!$B$14,0)</f>
        <v>1</v>
      </c>
      <c r="P10" s="37" t="n">
        <f aca="false">SUMIFS($H$6:$H$68,$A$6:$A$68,A10)</f>
        <v>4950</v>
      </c>
      <c r="Q10" s="5" t="str">
        <f aca="false">IF(P10&gt;=Assumptions!$B$16,"Head of AM (Gayu)",IF(M10&gt;0,"Same AM as the primary line",IF(G10="US + Canada","AM, US + Canada (test hire)",IF(C10="Paid media","AM, Paid Media, India + RoW","AM, SEO and GEO, India + RoW"))))</f>
        <v>AM, Paid Media, India + RoW</v>
      </c>
    </row>
    <row r="11" customFormat="false" ht="15" hidden="false" customHeight="false" outlineLevel="0" collapsed="false">
      <c r="A11" s="5" t="s">
        <v>167</v>
      </c>
      <c r="B11" s="5" t="s">
        <v>168</v>
      </c>
      <c r="C11" s="5" t="s">
        <v>154</v>
      </c>
      <c r="D11" s="5" t="s">
        <v>155</v>
      </c>
      <c r="E11" s="5" t="s">
        <v>156</v>
      </c>
      <c r="F11" s="5" t="s">
        <v>157</v>
      </c>
      <c r="G11" s="5" t="str">
        <f aca="false">IF(OR(F11="US",F11="US + Canada"),"US + Canada",IF(F11="Untagged","Untagged","India + RoW"))</f>
        <v>India + RoW</v>
      </c>
      <c r="H11" s="21" t="n">
        <v>9000</v>
      </c>
      <c r="I11" s="35" t="s">
        <v>158</v>
      </c>
      <c r="J11" s="35"/>
      <c r="K11" s="5" t="str">
        <f aca="false">IF(H11&gt;=Assumptions!$B$11,"Enterprise",IF(H11&gt;=Assumptions!$B$12,"Mid","Starter"))</f>
        <v>Enterprise</v>
      </c>
      <c r="L11" s="36" t="n">
        <f aca="false">IF(K11="Enterprise",Assumptions!$B$8,IF(K11="Mid",Assumptions!$B$9,Assumptions!$B$10))</f>
        <v>1.5</v>
      </c>
      <c r="M11" s="5" t="n">
        <f aca="false">COUNTIFS($A$6:$A$68,A11,$H$6:$H$68,"&gt;"&amp;H11)+COUNTIFS($A$5:A10,A11,$H$5:H10,H11)</f>
        <v>0</v>
      </c>
      <c r="N11" s="5" t="str">
        <f aca="false">IF(M11=0,"Primary line","Second line")</f>
        <v>Primary line</v>
      </c>
      <c r="O11" s="36" t="n">
        <f aca="false">L11*IF(M11=0,1,Assumptions!$B$13)+IF(I11="Signed, not started",Assumptions!$B$14,0)</f>
        <v>1.5</v>
      </c>
      <c r="P11" s="37" t="n">
        <f aca="false">SUMIFS($H$6:$H$68,$A$6:$A$68,A11)</f>
        <v>9000</v>
      </c>
      <c r="Q11" s="5" t="str">
        <f aca="false">IF(P11&gt;=Assumptions!$B$16,"Head of AM (Gayu)",IF(M11&gt;0,"Same AM as the primary line",IF(G11="US + Canada","AM, US + Canada (test hire)",IF(C11="Paid media","AM, Paid Media, India + RoW","AM, SEO and GEO, India + RoW"))))</f>
        <v>AM, Paid Media, India + RoW</v>
      </c>
    </row>
    <row r="12" customFormat="false" ht="15" hidden="false" customHeight="false" outlineLevel="0" collapsed="false">
      <c r="A12" s="5" t="s">
        <v>169</v>
      </c>
      <c r="B12" s="5" t="s">
        <v>169</v>
      </c>
      <c r="C12" s="5" t="s">
        <v>154</v>
      </c>
      <c r="D12" s="5" t="s">
        <v>155</v>
      </c>
      <c r="E12" s="5" t="s">
        <v>156</v>
      </c>
      <c r="F12" s="5" t="s">
        <v>157</v>
      </c>
      <c r="G12" s="5" t="str">
        <f aca="false">IF(OR(F12="US",F12="US + Canada"),"US + Canada",IF(F12="Untagged","Untagged","India + RoW"))</f>
        <v>India + RoW</v>
      </c>
      <c r="H12" s="21" t="n">
        <v>3500</v>
      </c>
      <c r="I12" s="35" t="s">
        <v>158</v>
      </c>
      <c r="J12" s="35" t="s">
        <v>170</v>
      </c>
      <c r="K12" s="5" t="str">
        <f aca="false">IF(H12&gt;=Assumptions!$B$11,"Enterprise",IF(H12&gt;=Assumptions!$B$12,"Mid","Starter"))</f>
        <v>Starter</v>
      </c>
      <c r="L12" s="36" t="n">
        <f aca="false">IF(K12="Enterprise",Assumptions!$B$8,IF(K12="Mid",Assumptions!$B$9,Assumptions!$B$10))</f>
        <v>0.75</v>
      </c>
      <c r="M12" s="5" t="n">
        <f aca="false">COUNTIFS($A$6:$A$68,A12,$H$6:$H$68,"&gt;"&amp;H12)+COUNTIFS($A$5:A11,A12,$H$5:H11,H12)</f>
        <v>0</v>
      </c>
      <c r="N12" s="5" t="str">
        <f aca="false">IF(M12=0,"Primary line","Second line")</f>
        <v>Primary line</v>
      </c>
      <c r="O12" s="36" t="n">
        <f aca="false">L12*IF(M12=0,1,Assumptions!$B$13)+IF(I12="Signed, not started",Assumptions!$B$14,0)</f>
        <v>0.75</v>
      </c>
      <c r="P12" s="37" t="n">
        <f aca="false">SUMIFS($H$6:$H$68,$A$6:$A$68,A12)</f>
        <v>3500</v>
      </c>
      <c r="Q12" s="5" t="str">
        <f aca="false">IF(P12&gt;=Assumptions!$B$16,"Head of AM (Gayu)",IF(M12&gt;0,"Same AM as the primary line",IF(G12="US + Canada","AM, US + Canada (test hire)",IF(C12="Paid media","AM, Paid Media, India + RoW","AM, SEO and GEO, India + RoW"))))</f>
        <v>AM, Paid Media, India + RoW</v>
      </c>
    </row>
    <row r="13" customFormat="false" ht="15" hidden="false" customHeight="false" outlineLevel="0" collapsed="false">
      <c r="A13" s="5" t="s">
        <v>171</v>
      </c>
      <c r="B13" s="5" t="s">
        <v>171</v>
      </c>
      <c r="C13" s="5" t="s">
        <v>154</v>
      </c>
      <c r="D13" s="5" t="s">
        <v>172</v>
      </c>
      <c r="E13" s="5" t="s">
        <v>156</v>
      </c>
      <c r="F13" s="5" t="s">
        <v>161</v>
      </c>
      <c r="G13" s="5" t="str">
        <f aca="false">IF(OR(F13="US",F13="US + Canada"),"US + Canada",IF(F13="Untagged","Untagged","India + RoW"))</f>
        <v>US + Canada</v>
      </c>
      <c r="H13" s="21" t="n">
        <v>4000</v>
      </c>
      <c r="I13" s="35" t="s">
        <v>158</v>
      </c>
      <c r="J13" s="35"/>
      <c r="K13" s="5" t="str">
        <f aca="false">IF(H13&gt;=Assumptions!$B$11,"Enterprise",IF(H13&gt;=Assumptions!$B$12,"Mid","Starter"))</f>
        <v>Mid</v>
      </c>
      <c r="L13" s="36" t="n">
        <f aca="false">IF(K13="Enterprise",Assumptions!$B$8,IF(K13="Mid",Assumptions!$B$9,Assumptions!$B$10))</f>
        <v>1</v>
      </c>
      <c r="M13" s="5" t="n">
        <f aca="false">COUNTIFS($A$6:$A$68,A13,$H$6:$H$68,"&gt;"&amp;H13)+COUNTIFS($A$5:A12,A13,$H$5:H12,H13)</f>
        <v>0</v>
      </c>
      <c r="N13" s="5" t="str">
        <f aca="false">IF(M13=0,"Primary line","Second line")</f>
        <v>Primary line</v>
      </c>
      <c r="O13" s="36" t="n">
        <f aca="false">L13*IF(M13=0,1,Assumptions!$B$13)+IF(I13="Signed, not started",Assumptions!$B$14,0)</f>
        <v>1</v>
      </c>
      <c r="P13" s="37" t="n">
        <f aca="false">SUMIFS($H$6:$H$68,$A$6:$A$68,A13)</f>
        <v>4000</v>
      </c>
      <c r="Q13" s="5" t="str">
        <f aca="false">IF(P13&gt;=Assumptions!$B$16,"Head of AM (Gayu)",IF(M13&gt;0,"Same AM as the primary line",IF(G13="US + Canada","AM, US + Canada (test hire)",IF(C13="Paid media","AM, Paid Media, India + RoW","AM, SEO and GEO, India + RoW"))))</f>
        <v>AM, US + Canada (test hire)</v>
      </c>
    </row>
    <row r="14" customFormat="false" ht="15" hidden="false" customHeight="false" outlineLevel="0" collapsed="false">
      <c r="A14" s="5" t="s">
        <v>173</v>
      </c>
      <c r="B14" s="5" t="s">
        <v>173</v>
      </c>
      <c r="C14" s="5" t="s">
        <v>154</v>
      </c>
      <c r="D14" s="5" t="s">
        <v>172</v>
      </c>
      <c r="E14" s="5" t="s">
        <v>156</v>
      </c>
      <c r="F14" s="5" t="s">
        <v>157</v>
      </c>
      <c r="G14" s="5" t="str">
        <f aca="false">IF(OR(F14="US",F14="US + Canada"),"US + Canada",IF(F14="Untagged","Untagged","India + RoW"))</f>
        <v>India + RoW</v>
      </c>
      <c r="H14" s="21" t="n">
        <v>3000</v>
      </c>
      <c r="I14" s="35" t="s">
        <v>158</v>
      </c>
      <c r="J14" s="35" t="s">
        <v>170</v>
      </c>
      <c r="K14" s="5" t="str">
        <f aca="false">IF(H14&gt;=Assumptions!$B$11,"Enterprise",IF(H14&gt;=Assumptions!$B$12,"Mid","Starter"))</f>
        <v>Starter</v>
      </c>
      <c r="L14" s="36" t="n">
        <f aca="false">IF(K14="Enterprise",Assumptions!$B$8,IF(K14="Mid",Assumptions!$B$9,Assumptions!$B$10))</f>
        <v>0.75</v>
      </c>
      <c r="M14" s="5" t="n">
        <f aca="false">COUNTIFS($A$6:$A$68,A14,$H$6:$H$68,"&gt;"&amp;H14)+COUNTIFS($A$5:A13,A14,$H$5:H13,H14)</f>
        <v>0</v>
      </c>
      <c r="N14" s="5" t="str">
        <f aca="false">IF(M14=0,"Primary line","Second line")</f>
        <v>Primary line</v>
      </c>
      <c r="O14" s="36" t="n">
        <f aca="false">L14*IF(M14=0,1,Assumptions!$B$13)+IF(I14="Signed, not started",Assumptions!$B$14,0)</f>
        <v>0.75</v>
      </c>
      <c r="P14" s="37" t="n">
        <f aca="false">SUMIFS($H$6:$H$68,$A$6:$A$68,A14)</f>
        <v>6000</v>
      </c>
      <c r="Q14" s="5" t="str">
        <f aca="false">IF(P14&gt;=Assumptions!$B$16,"Head of AM (Gayu)",IF(M14&gt;0,"Same AM as the primary line",IF(G14="US + Canada","AM, US + Canada (test hire)",IF(C14="Paid media","AM, Paid Media, India + RoW","AM, SEO and GEO, India + RoW"))))</f>
        <v>AM, Paid Media, India + RoW</v>
      </c>
    </row>
    <row r="15" customFormat="false" ht="15" hidden="false" customHeight="false" outlineLevel="0" collapsed="false">
      <c r="A15" s="5" t="s">
        <v>174</v>
      </c>
      <c r="B15" s="5" t="s">
        <v>174</v>
      </c>
      <c r="C15" s="5" t="s">
        <v>154</v>
      </c>
      <c r="D15" s="5" t="s">
        <v>172</v>
      </c>
      <c r="E15" s="5" t="s">
        <v>156</v>
      </c>
      <c r="F15" s="5" t="s">
        <v>157</v>
      </c>
      <c r="G15" s="5" t="str">
        <f aca="false">IF(OR(F15="US",F15="US + Canada"),"US + Canada",IF(F15="Untagged","Untagged","India + RoW"))</f>
        <v>India + RoW</v>
      </c>
      <c r="H15" s="21" t="n">
        <v>2000</v>
      </c>
      <c r="I15" s="35" t="s">
        <v>158</v>
      </c>
      <c r="J15" s="35" t="s">
        <v>170</v>
      </c>
      <c r="K15" s="5" t="str">
        <f aca="false">IF(H15&gt;=Assumptions!$B$11,"Enterprise",IF(H15&gt;=Assumptions!$B$12,"Mid","Starter"))</f>
        <v>Starter</v>
      </c>
      <c r="L15" s="36" t="n">
        <f aca="false">IF(K15="Enterprise",Assumptions!$B$8,IF(K15="Mid",Assumptions!$B$9,Assumptions!$B$10))</f>
        <v>0.75</v>
      </c>
      <c r="M15" s="5" t="n">
        <f aca="false">COUNTIFS($A$6:$A$68,A15,$H$6:$H$68,"&gt;"&amp;H15)+COUNTIFS($A$5:A14,A15,$H$5:H14,H15)</f>
        <v>0</v>
      </c>
      <c r="N15" s="5" t="str">
        <f aca="false">IF(M15=0,"Primary line","Second line")</f>
        <v>Primary line</v>
      </c>
      <c r="O15" s="36" t="n">
        <f aca="false">L15*IF(M15=0,1,Assumptions!$B$13)+IF(I15="Signed, not started",Assumptions!$B$14,0)</f>
        <v>0.75</v>
      </c>
      <c r="P15" s="37" t="n">
        <f aca="false">SUMIFS($H$6:$H$68,$A$6:$A$68,A15)</f>
        <v>2000</v>
      </c>
      <c r="Q15" s="5" t="str">
        <f aca="false">IF(P15&gt;=Assumptions!$B$16,"Head of AM (Gayu)",IF(M15&gt;0,"Same AM as the primary line",IF(G15="US + Canada","AM, US + Canada (test hire)",IF(C15="Paid media","AM, Paid Media, India + RoW","AM, SEO and GEO, India + RoW"))))</f>
        <v>AM, Paid Media, India + RoW</v>
      </c>
    </row>
    <row r="16" customFormat="false" ht="15" hidden="false" customHeight="false" outlineLevel="0" collapsed="false">
      <c r="A16" s="5" t="s">
        <v>175</v>
      </c>
      <c r="B16" s="5" t="s">
        <v>175</v>
      </c>
      <c r="C16" s="5" t="s">
        <v>154</v>
      </c>
      <c r="D16" s="5" t="s">
        <v>172</v>
      </c>
      <c r="E16" s="5" t="s">
        <v>156</v>
      </c>
      <c r="F16" s="5" t="s">
        <v>176</v>
      </c>
      <c r="G16" s="5" t="str">
        <f aca="false">IF(OR(F16="US",F16="US + Canada"),"US + Canada",IF(F16="Untagged","Untagged","India + RoW"))</f>
        <v>India + RoW</v>
      </c>
      <c r="H16" s="21" t="n">
        <v>7000</v>
      </c>
      <c r="I16" s="35" t="s">
        <v>158</v>
      </c>
      <c r="J16" s="35"/>
      <c r="K16" s="5" t="str">
        <f aca="false">IF(H16&gt;=Assumptions!$B$11,"Enterprise",IF(H16&gt;=Assumptions!$B$12,"Mid","Starter"))</f>
        <v>Enterprise</v>
      </c>
      <c r="L16" s="36" t="n">
        <f aca="false">IF(K16="Enterprise",Assumptions!$B$8,IF(K16="Mid",Assumptions!$B$9,Assumptions!$B$10))</f>
        <v>1.5</v>
      </c>
      <c r="M16" s="5" t="n">
        <f aca="false">COUNTIFS($A$6:$A$68,A16,$H$6:$H$68,"&gt;"&amp;H16)+COUNTIFS($A$5:A15,A16,$H$5:H15,H16)</f>
        <v>0</v>
      </c>
      <c r="N16" s="5" t="str">
        <f aca="false">IF(M16=0,"Primary line","Second line")</f>
        <v>Primary line</v>
      </c>
      <c r="O16" s="36" t="n">
        <f aca="false">L16*IF(M16=0,1,Assumptions!$B$13)+IF(I16="Signed, not started",Assumptions!$B$14,0)</f>
        <v>1.5</v>
      </c>
      <c r="P16" s="37" t="n">
        <f aca="false">SUMIFS($H$6:$H$68,$A$6:$A$68,A16)</f>
        <v>7000</v>
      </c>
      <c r="Q16" s="5" t="str">
        <f aca="false">IF(P16&gt;=Assumptions!$B$16,"Head of AM (Gayu)",IF(M16&gt;0,"Same AM as the primary line",IF(G16="US + Canada","AM, US + Canada (test hire)",IF(C16="Paid media","AM, Paid Media, India + RoW","AM, SEO and GEO, India + RoW"))))</f>
        <v>AM, Paid Media, India + RoW</v>
      </c>
    </row>
    <row r="17" customFormat="false" ht="15" hidden="false" customHeight="false" outlineLevel="0" collapsed="false">
      <c r="A17" s="5" t="s">
        <v>177</v>
      </c>
      <c r="B17" s="5" t="s">
        <v>177</v>
      </c>
      <c r="C17" s="5" t="s">
        <v>154</v>
      </c>
      <c r="D17" s="5" t="s">
        <v>172</v>
      </c>
      <c r="E17" s="5" t="s">
        <v>156</v>
      </c>
      <c r="F17" s="5" t="s">
        <v>157</v>
      </c>
      <c r="G17" s="5" t="str">
        <f aca="false">IF(OR(F17="US",F17="US + Canada"),"US + Canada",IF(F17="Untagged","Untagged","India + RoW"))</f>
        <v>India + RoW</v>
      </c>
      <c r="H17" s="21" t="n">
        <v>2500</v>
      </c>
      <c r="I17" s="35" t="s">
        <v>158</v>
      </c>
      <c r="J17" s="35" t="s">
        <v>170</v>
      </c>
      <c r="K17" s="5" t="str">
        <f aca="false">IF(H17&gt;=Assumptions!$B$11,"Enterprise",IF(H17&gt;=Assumptions!$B$12,"Mid","Starter"))</f>
        <v>Starter</v>
      </c>
      <c r="L17" s="36" t="n">
        <f aca="false">IF(K17="Enterprise",Assumptions!$B$8,IF(K17="Mid",Assumptions!$B$9,Assumptions!$B$10))</f>
        <v>0.75</v>
      </c>
      <c r="M17" s="5" t="n">
        <f aca="false">COUNTIFS($A$6:$A$68,A17,$H$6:$H$68,"&gt;"&amp;H17)+COUNTIFS($A$5:A16,A17,$H$5:H16,H17)</f>
        <v>1</v>
      </c>
      <c r="N17" s="5" t="str">
        <f aca="false">IF(M17=0,"Primary line","Second line")</f>
        <v>Second line</v>
      </c>
      <c r="O17" s="36" t="n">
        <f aca="false">L17*IF(M17=0,1,Assumptions!$B$13)+IF(I17="Signed, not started",Assumptions!$B$14,0)</f>
        <v>0.375</v>
      </c>
      <c r="P17" s="37" t="n">
        <f aca="false">SUMIFS($H$6:$H$68,$A$6:$A$68,A17)</f>
        <v>7500</v>
      </c>
      <c r="Q17" s="5" t="str">
        <f aca="false">IF(P17&gt;=Assumptions!$B$16,"Head of AM (Gayu)",IF(M17&gt;0,"Same AM as the primary line",IF(G17="US + Canada","AM, US + Canada (test hire)",IF(C17="Paid media","AM, Paid Media, India + RoW","AM, SEO and GEO, India + RoW"))))</f>
        <v>Same AM as the primary line</v>
      </c>
    </row>
    <row r="18" customFormat="false" ht="15" hidden="false" customHeight="false" outlineLevel="0" collapsed="false">
      <c r="A18" s="5" t="s">
        <v>178</v>
      </c>
      <c r="B18" s="5" t="s">
        <v>178</v>
      </c>
      <c r="C18" s="5" t="s">
        <v>154</v>
      </c>
      <c r="D18" s="5" t="s">
        <v>172</v>
      </c>
      <c r="E18" s="5" t="s">
        <v>156</v>
      </c>
      <c r="F18" s="5" t="s">
        <v>166</v>
      </c>
      <c r="G18" s="5" t="str">
        <f aca="false">IF(OR(F18="US",F18="US + Canada"),"US + Canada",IF(F18="Untagged","Untagged","India + RoW"))</f>
        <v>India + RoW</v>
      </c>
      <c r="H18" s="21" t="n">
        <v>4500</v>
      </c>
      <c r="I18" s="35" t="s">
        <v>158</v>
      </c>
      <c r="J18" s="35"/>
      <c r="K18" s="5" t="str">
        <f aca="false">IF(H18&gt;=Assumptions!$B$11,"Enterprise",IF(H18&gt;=Assumptions!$B$12,"Mid","Starter"))</f>
        <v>Mid</v>
      </c>
      <c r="L18" s="36" t="n">
        <f aca="false">IF(K18="Enterprise",Assumptions!$B$8,IF(K18="Mid",Assumptions!$B$9,Assumptions!$B$10))</f>
        <v>1</v>
      </c>
      <c r="M18" s="5" t="n">
        <f aca="false">COUNTIFS($A$6:$A$68,A18,$H$6:$H$68,"&gt;"&amp;H18)+COUNTIFS($A$5:A17,A18,$H$5:H17,H18)</f>
        <v>0</v>
      </c>
      <c r="N18" s="5" t="str">
        <f aca="false">IF(M18=0,"Primary line","Second line")</f>
        <v>Primary line</v>
      </c>
      <c r="O18" s="36" t="n">
        <f aca="false">L18*IF(M18=0,1,Assumptions!$B$13)+IF(I18="Signed, not started",Assumptions!$B$14,0)</f>
        <v>1</v>
      </c>
      <c r="P18" s="37" t="n">
        <f aca="false">SUMIFS($H$6:$H$68,$A$6:$A$68,A18)</f>
        <v>4500</v>
      </c>
      <c r="Q18" s="5" t="str">
        <f aca="false">IF(P18&gt;=Assumptions!$B$16,"Head of AM (Gayu)",IF(M18&gt;0,"Same AM as the primary line",IF(G18="US + Canada","AM, US + Canada (test hire)",IF(C18="Paid media","AM, Paid Media, India + RoW","AM, SEO and GEO, India + RoW"))))</f>
        <v>AM, Paid Media, India + RoW</v>
      </c>
    </row>
    <row r="19" customFormat="false" ht="15" hidden="false" customHeight="false" outlineLevel="0" collapsed="false">
      <c r="A19" s="5" t="s">
        <v>179</v>
      </c>
      <c r="B19" s="5" t="s">
        <v>179</v>
      </c>
      <c r="C19" s="5" t="s">
        <v>154</v>
      </c>
      <c r="D19" s="5" t="s">
        <v>172</v>
      </c>
      <c r="E19" s="5" t="s">
        <v>156</v>
      </c>
      <c r="F19" s="5" t="s">
        <v>161</v>
      </c>
      <c r="G19" s="5" t="str">
        <f aca="false">IF(OR(F19="US",F19="US + Canada"),"US + Canada",IF(F19="Untagged","Untagged","India + RoW"))</f>
        <v>US + Canada</v>
      </c>
      <c r="H19" s="21" t="n">
        <v>5000</v>
      </c>
      <c r="I19" s="35" t="s">
        <v>158</v>
      </c>
      <c r="J19" s="35"/>
      <c r="K19" s="5" t="str">
        <f aca="false">IF(H19&gt;=Assumptions!$B$11,"Enterprise",IF(H19&gt;=Assumptions!$B$12,"Mid","Starter"))</f>
        <v>Mid</v>
      </c>
      <c r="L19" s="36" t="n">
        <f aca="false">IF(K19="Enterprise",Assumptions!$B$8,IF(K19="Mid",Assumptions!$B$9,Assumptions!$B$10))</f>
        <v>1</v>
      </c>
      <c r="M19" s="5" t="n">
        <f aca="false">COUNTIFS($A$6:$A$68,A19,$H$6:$H$68,"&gt;"&amp;H19)+COUNTIFS($A$5:A18,A19,$H$5:H18,H19)</f>
        <v>0</v>
      </c>
      <c r="N19" s="5" t="str">
        <f aca="false">IF(M19=0,"Primary line","Second line")</f>
        <v>Primary line</v>
      </c>
      <c r="O19" s="36" t="n">
        <f aca="false">L19*IF(M19=0,1,Assumptions!$B$13)+IF(I19="Signed, not started",Assumptions!$B$14,0)</f>
        <v>1</v>
      </c>
      <c r="P19" s="37" t="n">
        <f aca="false">SUMIFS($H$6:$H$68,$A$6:$A$68,A19)</f>
        <v>5000</v>
      </c>
      <c r="Q19" s="5" t="str">
        <f aca="false">IF(P19&gt;=Assumptions!$B$16,"Head of AM (Gayu)",IF(M19&gt;0,"Same AM as the primary line",IF(G19="US + Canada","AM, US + Canada (test hire)",IF(C19="Paid media","AM, Paid Media, India + RoW","AM, SEO and GEO, India + RoW"))))</f>
        <v>AM, US + Canada (test hire)</v>
      </c>
    </row>
    <row r="20" customFormat="false" ht="15" hidden="false" customHeight="false" outlineLevel="0" collapsed="false">
      <c r="A20" s="5" t="s">
        <v>180</v>
      </c>
      <c r="B20" s="5" t="s">
        <v>180</v>
      </c>
      <c r="C20" s="5" t="s">
        <v>154</v>
      </c>
      <c r="D20" s="5" t="s">
        <v>181</v>
      </c>
      <c r="E20" s="5" t="s">
        <v>160</v>
      </c>
      <c r="F20" s="5" t="s">
        <v>161</v>
      </c>
      <c r="G20" s="5" t="str">
        <f aca="false">IF(OR(F20="US",F20="US + Canada"),"US + Canada",IF(F20="Untagged","Untagged","India + RoW"))</f>
        <v>US + Canada</v>
      </c>
      <c r="H20" s="21" t="n">
        <v>6000</v>
      </c>
      <c r="I20" s="35" t="s">
        <v>158</v>
      </c>
      <c r="J20" s="35"/>
      <c r="K20" s="5" t="str">
        <f aca="false">IF(H20&gt;=Assumptions!$B$11,"Enterprise",IF(H20&gt;=Assumptions!$B$12,"Mid","Starter"))</f>
        <v>Mid</v>
      </c>
      <c r="L20" s="36" t="n">
        <f aca="false">IF(K20="Enterprise",Assumptions!$B$8,IF(K20="Mid",Assumptions!$B$9,Assumptions!$B$10))</f>
        <v>1</v>
      </c>
      <c r="M20" s="5" t="n">
        <f aca="false">COUNTIFS($A$6:$A$68,A20,$H$6:$H$68,"&gt;"&amp;H20)+COUNTIFS($A$5:A19,A20,$H$5:H19,H20)</f>
        <v>0</v>
      </c>
      <c r="N20" s="5" t="str">
        <f aca="false">IF(M20=0,"Primary line","Second line")</f>
        <v>Primary line</v>
      </c>
      <c r="O20" s="36" t="n">
        <f aca="false">L20*IF(M20=0,1,Assumptions!$B$13)+IF(I20="Signed, not started",Assumptions!$B$14,0)</f>
        <v>1</v>
      </c>
      <c r="P20" s="37" t="n">
        <f aca="false">SUMIFS($H$6:$H$68,$A$6:$A$68,A20)</f>
        <v>6000</v>
      </c>
      <c r="Q20" s="5" t="str">
        <f aca="false">IF(P20&gt;=Assumptions!$B$16,"Head of AM (Gayu)",IF(M20&gt;0,"Same AM as the primary line",IF(G20="US + Canada","AM, US + Canada (test hire)",IF(C20="Paid media","AM, Paid Media, India + RoW","AM, SEO and GEO, India + RoW"))))</f>
        <v>AM, US + Canada (test hire)</v>
      </c>
    </row>
    <row r="21" customFormat="false" ht="15" hidden="false" customHeight="false" outlineLevel="0" collapsed="false">
      <c r="A21" s="5" t="s">
        <v>182</v>
      </c>
      <c r="B21" s="5" t="s">
        <v>183</v>
      </c>
      <c r="C21" s="5" t="s">
        <v>154</v>
      </c>
      <c r="D21" s="5" t="s">
        <v>181</v>
      </c>
      <c r="E21" s="5" t="s">
        <v>156</v>
      </c>
      <c r="F21" s="5" t="s">
        <v>161</v>
      </c>
      <c r="G21" s="5" t="str">
        <f aca="false">IF(OR(F21="US",F21="US + Canada"),"US + Canada",IF(F21="Untagged","Untagged","India + RoW"))</f>
        <v>US + Canada</v>
      </c>
      <c r="H21" s="21" t="n">
        <v>6000</v>
      </c>
      <c r="I21" s="35" t="s">
        <v>158</v>
      </c>
      <c r="J21" s="35"/>
      <c r="K21" s="5" t="str">
        <f aca="false">IF(H21&gt;=Assumptions!$B$11,"Enterprise",IF(H21&gt;=Assumptions!$B$12,"Mid","Starter"))</f>
        <v>Mid</v>
      </c>
      <c r="L21" s="36" t="n">
        <f aca="false">IF(K21="Enterprise",Assumptions!$B$8,IF(K21="Mid",Assumptions!$B$9,Assumptions!$B$10))</f>
        <v>1</v>
      </c>
      <c r="M21" s="5" t="n">
        <f aca="false">COUNTIFS($A$6:$A$68,A21,$H$6:$H$68,"&gt;"&amp;H21)+COUNTIFS($A$5:A20,A21,$H$5:H20,H21)</f>
        <v>1</v>
      </c>
      <c r="N21" s="5" t="str">
        <f aca="false">IF(M21=0,"Primary line","Second line")</f>
        <v>Second line</v>
      </c>
      <c r="O21" s="36" t="n">
        <f aca="false">L21*IF(M21=0,1,Assumptions!$B$13)+IF(I21="Signed, not started",Assumptions!$B$14,0)</f>
        <v>0.5</v>
      </c>
      <c r="P21" s="37" t="n">
        <f aca="false">SUMIFS($H$6:$H$68,$A$6:$A$68,A21)</f>
        <v>14000</v>
      </c>
      <c r="Q21" s="5" t="str">
        <f aca="false">IF(P21&gt;=Assumptions!$B$16,"Head of AM (Gayu)",IF(M21&gt;0,"Same AM as the primary line",IF(G21="US + Canada","AM, US + Canada (test hire)",IF(C21="Paid media","AM, Paid Media, India + RoW","AM, SEO and GEO, India + RoW"))))</f>
        <v>Head of AM (Gayu)</v>
      </c>
    </row>
    <row r="22" customFormat="false" ht="15" hidden="false" customHeight="false" outlineLevel="0" collapsed="false">
      <c r="A22" s="5" t="s">
        <v>184</v>
      </c>
      <c r="B22" s="5" t="s">
        <v>184</v>
      </c>
      <c r="C22" s="5" t="s">
        <v>154</v>
      </c>
      <c r="D22" s="5" t="s">
        <v>181</v>
      </c>
      <c r="E22" s="5" t="s">
        <v>160</v>
      </c>
      <c r="F22" s="5" t="s">
        <v>161</v>
      </c>
      <c r="G22" s="5" t="str">
        <f aca="false">IF(OR(F22="US",F22="US + Canada"),"US + Canada",IF(F22="Untagged","Untagged","India + RoW"))</f>
        <v>US + Canada</v>
      </c>
      <c r="H22" s="21" t="n">
        <v>12000</v>
      </c>
      <c r="I22" s="35" t="s">
        <v>158</v>
      </c>
      <c r="J22" s="35"/>
      <c r="K22" s="5" t="str">
        <f aca="false">IF(H22&gt;=Assumptions!$B$11,"Enterprise",IF(H22&gt;=Assumptions!$B$12,"Mid","Starter"))</f>
        <v>Enterprise</v>
      </c>
      <c r="L22" s="36" t="n">
        <f aca="false">IF(K22="Enterprise",Assumptions!$B$8,IF(K22="Mid",Assumptions!$B$9,Assumptions!$B$10))</f>
        <v>1.5</v>
      </c>
      <c r="M22" s="5" t="n">
        <f aca="false">COUNTIFS($A$6:$A$68,A22,$H$6:$H$68,"&gt;"&amp;H22)+COUNTIFS($A$5:A21,A22,$H$5:H21,H22)</f>
        <v>0</v>
      </c>
      <c r="N22" s="5" t="str">
        <f aca="false">IF(M22=0,"Primary line","Second line")</f>
        <v>Primary line</v>
      </c>
      <c r="O22" s="36" t="n">
        <f aca="false">L22*IF(M22=0,1,Assumptions!$B$13)+IF(I22="Signed, not started",Assumptions!$B$14,0)</f>
        <v>1.5</v>
      </c>
      <c r="P22" s="37" t="n">
        <f aca="false">SUMIFS($H$6:$H$68,$A$6:$A$68,A22)</f>
        <v>19000</v>
      </c>
      <c r="Q22" s="5" t="str">
        <f aca="false">IF(P22&gt;=Assumptions!$B$16,"Head of AM (Gayu)",IF(M22&gt;0,"Same AM as the primary line",IF(G22="US + Canada","AM, US + Canada (test hire)",IF(C22="Paid media","AM, Paid Media, India + RoW","AM, SEO and GEO, India + RoW"))))</f>
        <v>Head of AM (Gayu)</v>
      </c>
    </row>
    <row r="23" customFormat="false" ht="15" hidden="false" customHeight="false" outlineLevel="0" collapsed="false">
      <c r="A23" s="5" t="s">
        <v>185</v>
      </c>
      <c r="B23" s="5" t="s">
        <v>186</v>
      </c>
      <c r="C23" s="5" t="s">
        <v>154</v>
      </c>
      <c r="D23" s="5" t="s">
        <v>181</v>
      </c>
      <c r="E23" s="5" t="s">
        <v>160</v>
      </c>
      <c r="F23" s="5" t="s">
        <v>161</v>
      </c>
      <c r="G23" s="5" t="str">
        <f aca="false">IF(OR(F23="US",F23="US + Canada"),"US + Canada",IF(F23="Untagged","Untagged","India + RoW"))</f>
        <v>US + Canada</v>
      </c>
      <c r="H23" s="21" t="n">
        <v>3000</v>
      </c>
      <c r="I23" s="35" t="s">
        <v>158</v>
      </c>
      <c r="J23" s="35" t="s">
        <v>170</v>
      </c>
      <c r="K23" s="5" t="str">
        <f aca="false">IF(H23&gt;=Assumptions!$B$11,"Enterprise",IF(H23&gt;=Assumptions!$B$12,"Mid","Starter"))</f>
        <v>Starter</v>
      </c>
      <c r="L23" s="36" t="n">
        <f aca="false">IF(K23="Enterprise",Assumptions!$B$8,IF(K23="Mid",Assumptions!$B$9,Assumptions!$B$10))</f>
        <v>0.75</v>
      </c>
      <c r="M23" s="5" t="n">
        <f aca="false">COUNTIFS($A$6:$A$68,A23,$H$6:$H$68,"&gt;"&amp;H23)+COUNTIFS($A$5:A22,A23,$H$5:H22,H23)</f>
        <v>1</v>
      </c>
      <c r="N23" s="5" t="str">
        <f aca="false">IF(M23=0,"Primary line","Second line")</f>
        <v>Second line</v>
      </c>
      <c r="O23" s="36" t="n">
        <f aca="false">L23*IF(M23=0,1,Assumptions!$B$13)+IF(I23="Signed, not started",Assumptions!$B$14,0)</f>
        <v>0.375</v>
      </c>
      <c r="P23" s="37" t="n">
        <f aca="false">SUMIFS($H$6:$H$68,$A$6:$A$68,A23)</f>
        <v>7000</v>
      </c>
      <c r="Q23" s="5" t="str">
        <f aca="false">IF(P23&gt;=Assumptions!$B$16,"Head of AM (Gayu)",IF(M23&gt;0,"Same AM as the primary line",IF(G23="US + Canada","AM, US + Canada (test hire)",IF(C23="Paid media","AM, Paid Media, India + RoW","AM, SEO and GEO, India + RoW"))))</f>
        <v>Same AM as the primary line</v>
      </c>
    </row>
    <row r="24" customFormat="false" ht="15" hidden="false" customHeight="false" outlineLevel="0" collapsed="false">
      <c r="A24" s="5" t="s">
        <v>187</v>
      </c>
      <c r="B24" s="5" t="s">
        <v>187</v>
      </c>
      <c r="C24" s="5" t="s">
        <v>154</v>
      </c>
      <c r="D24" s="5" t="s">
        <v>181</v>
      </c>
      <c r="E24" s="5" t="s">
        <v>156</v>
      </c>
      <c r="F24" s="5" t="s">
        <v>157</v>
      </c>
      <c r="G24" s="5" t="str">
        <f aca="false">IF(OR(F24="US",F24="US + Canada"),"US + Canada",IF(F24="Untagged","Untagged","India + RoW"))</f>
        <v>India + RoW</v>
      </c>
      <c r="H24" s="21" t="n">
        <v>4500</v>
      </c>
      <c r="I24" s="35" t="s">
        <v>188</v>
      </c>
      <c r="J24" s="35"/>
      <c r="K24" s="5" t="str">
        <f aca="false">IF(H24&gt;=Assumptions!$B$11,"Enterprise",IF(H24&gt;=Assumptions!$B$12,"Mid","Starter"))</f>
        <v>Mid</v>
      </c>
      <c r="L24" s="36" t="n">
        <f aca="false">IF(K24="Enterprise",Assumptions!$B$8,IF(K24="Mid",Assumptions!$B$9,Assumptions!$B$10))</f>
        <v>1</v>
      </c>
      <c r="M24" s="5" t="n">
        <f aca="false">COUNTIFS($A$6:$A$68,A24,$H$6:$H$68,"&gt;"&amp;H24)+COUNTIFS($A$5:A23,A24,$H$5:H23,H24)</f>
        <v>0</v>
      </c>
      <c r="N24" s="5" t="str">
        <f aca="false">IF(M24=0,"Primary line","Second line")</f>
        <v>Primary line</v>
      </c>
      <c r="O24" s="36" t="n">
        <f aca="false">L24*IF(M24=0,1,Assumptions!$B$13)+IF(I24="Signed, not started",Assumptions!$B$14,0)</f>
        <v>1.5</v>
      </c>
      <c r="P24" s="37" t="n">
        <f aca="false">SUMIFS($H$6:$H$68,$A$6:$A$68,A24)</f>
        <v>4500</v>
      </c>
      <c r="Q24" s="5" t="str">
        <f aca="false">IF(P24&gt;=Assumptions!$B$16,"Head of AM (Gayu)",IF(M24&gt;0,"Same AM as the primary line",IF(G24="US + Canada","AM, US + Canada (test hire)",IF(C24="Paid media","AM, Paid Media, India + RoW","AM, SEO and GEO, India + RoW"))))</f>
        <v>AM, Paid Media, India + RoW</v>
      </c>
    </row>
    <row r="25" customFormat="false" ht="15" hidden="false" customHeight="false" outlineLevel="0" collapsed="false">
      <c r="A25" s="5" t="s">
        <v>189</v>
      </c>
      <c r="B25" s="5" t="s">
        <v>190</v>
      </c>
      <c r="C25" s="5" t="s">
        <v>154</v>
      </c>
      <c r="D25" s="5" t="s">
        <v>191</v>
      </c>
      <c r="E25" s="5" t="s">
        <v>156</v>
      </c>
      <c r="F25" s="5" t="s">
        <v>157</v>
      </c>
      <c r="G25" s="5" t="str">
        <f aca="false">IF(OR(F25="US",F25="US + Canada"),"US + Canada",IF(F25="Untagged","Untagged","India + RoW"))</f>
        <v>India + RoW</v>
      </c>
      <c r="H25" s="21" t="n">
        <v>4000</v>
      </c>
      <c r="I25" s="35" t="s">
        <v>158</v>
      </c>
      <c r="J25" s="35"/>
      <c r="K25" s="5" t="str">
        <f aca="false">IF(H25&gt;=Assumptions!$B$11,"Enterprise",IF(H25&gt;=Assumptions!$B$12,"Mid","Starter"))</f>
        <v>Mid</v>
      </c>
      <c r="L25" s="36" t="n">
        <f aca="false">IF(K25="Enterprise",Assumptions!$B$8,IF(K25="Mid",Assumptions!$B$9,Assumptions!$B$10))</f>
        <v>1</v>
      </c>
      <c r="M25" s="5" t="n">
        <f aca="false">COUNTIFS($A$6:$A$68,A25,$H$6:$H$68,"&gt;"&amp;H25)+COUNTIFS($A$5:A24,A25,$H$5:H24,H25)</f>
        <v>0</v>
      </c>
      <c r="N25" s="5" t="str">
        <f aca="false">IF(M25=0,"Primary line","Second line")</f>
        <v>Primary line</v>
      </c>
      <c r="O25" s="36" t="n">
        <f aca="false">L25*IF(M25=0,1,Assumptions!$B$13)+IF(I25="Signed, not started",Assumptions!$B$14,0)</f>
        <v>1</v>
      </c>
      <c r="P25" s="37" t="n">
        <f aca="false">SUMIFS($H$6:$H$68,$A$6:$A$68,A25)</f>
        <v>4000</v>
      </c>
      <c r="Q25" s="5" t="str">
        <f aca="false">IF(P25&gt;=Assumptions!$B$16,"Head of AM (Gayu)",IF(M25&gt;0,"Same AM as the primary line",IF(G25="US + Canada","AM, US + Canada (test hire)",IF(C25="Paid media","AM, Paid Media, India + RoW","AM, SEO and GEO, India + RoW"))))</f>
        <v>AM, Paid Media, India + RoW</v>
      </c>
    </row>
    <row r="26" customFormat="false" ht="15" hidden="false" customHeight="false" outlineLevel="0" collapsed="false">
      <c r="A26" s="5" t="s">
        <v>192</v>
      </c>
      <c r="B26" s="5" t="s">
        <v>192</v>
      </c>
      <c r="C26" s="5" t="s">
        <v>154</v>
      </c>
      <c r="D26" s="5" t="s">
        <v>191</v>
      </c>
      <c r="E26" s="5" t="s">
        <v>156</v>
      </c>
      <c r="F26" s="5" t="s">
        <v>157</v>
      </c>
      <c r="G26" s="5" t="str">
        <f aca="false">IF(OR(F26="US",F26="US + Canada"),"US + Canada",IF(F26="Untagged","Untagged","India + RoW"))</f>
        <v>India + RoW</v>
      </c>
      <c r="H26" s="21" t="n">
        <v>3000</v>
      </c>
      <c r="I26" s="35" t="s">
        <v>158</v>
      </c>
      <c r="J26" s="35" t="s">
        <v>170</v>
      </c>
      <c r="K26" s="5" t="str">
        <f aca="false">IF(H26&gt;=Assumptions!$B$11,"Enterprise",IF(H26&gt;=Assumptions!$B$12,"Mid","Starter"))</f>
        <v>Starter</v>
      </c>
      <c r="L26" s="36" t="n">
        <f aca="false">IF(K26="Enterprise",Assumptions!$B$8,IF(K26="Mid",Assumptions!$B$9,Assumptions!$B$10))</f>
        <v>0.75</v>
      </c>
      <c r="M26" s="5" t="n">
        <f aca="false">COUNTIFS($A$6:$A$68,A26,$H$6:$H$68,"&gt;"&amp;H26)+COUNTIFS($A$5:A25,A26,$H$5:H25,H26)</f>
        <v>0</v>
      </c>
      <c r="N26" s="5" t="str">
        <f aca="false">IF(M26=0,"Primary line","Second line")</f>
        <v>Primary line</v>
      </c>
      <c r="O26" s="36" t="n">
        <f aca="false">L26*IF(M26=0,1,Assumptions!$B$13)+IF(I26="Signed, not started",Assumptions!$B$14,0)</f>
        <v>0.75</v>
      </c>
      <c r="P26" s="37" t="n">
        <f aca="false">SUMIFS($H$6:$H$68,$A$6:$A$68,A26)</f>
        <v>6000</v>
      </c>
      <c r="Q26" s="5" t="str">
        <f aca="false">IF(P26&gt;=Assumptions!$B$16,"Head of AM (Gayu)",IF(M26&gt;0,"Same AM as the primary line",IF(G26="US + Canada","AM, US + Canada (test hire)",IF(C26="Paid media","AM, Paid Media, India + RoW","AM, SEO and GEO, India + RoW"))))</f>
        <v>AM, Paid Media, India + RoW</v>
      </c>
    </row>
    <row r="27" customFormat="false" ht="15" hidden="false" customHeight="false" outlineLevel="0" collapsed="false">
      <c r="A27" s="5" t="s">
        <v>193</v>
      </c>
      <c r="B27" s="5" t="s">
        <v>193</v>
      </c>
      <c r="C27" s="5" t="s">
        <v>154</v>
      </c>
      <c r="D27" s="5" t="s">
        <v>194</v>
      </c>
      <c r="E27" s="5" t="s">
        <v>195</v>
      </c>
      <c r="F27" s="5" t="s">
        <v>157</v>
      </c>
      <c r="G27" s="5" t="str">
        <f aca="false">IF(OR(F27="US",F27="US + Canada"),"US + Canada",IF(F27="Untagged","Untagged","India + RoW"))</f>
        <v>India + RoW</v>
      </c>
      <c r="H27" s="21" t="n">
        <v>5000</v>
      </c>
      <c r="I27" s="35" t="s">
        <v>158</v>
      </c>
      <c r="J27" s="35"/>
      <c r="K27" s="5" t="str">
        <f aca="false">IF(H27&gt;=Assumptions!$B$11,"Enterprise",IF(H27&gt;=Assumptions!$B$12,"Mid","Starter"))</f>
        <v>Mid</v>
      </c>
      <c r="L27" s="36" t="n">
        <f aca="false">IF(K27="Enterprise",Assumptions!$B$8,IF(K27="Mid",Assumptions!$B$9,Assumptions!$B$10))</f>
        <v>1</v>
      </c>
      <c r="M27" s="5" t="n">
        <f aca="false">COUNTIFS($A$6:$A$68,A27,$H$6:$H$68,"&gt;"&amp;H27)+COUNTIFS($A$5:A26,A27,$H$5:H26,H27)</f>
        <v>0</v>
      </c>
      <c r="N27" s="5" t="str">
        <f aca="false">IF(M27=0,"Primary line","Second line")</f>
        <v>Primary line</v>
      </c>
      <c r="O27" s="36" t="n">
        <f aca="false">L27*IF(M27=0,1,Assumptions!$B$13)+IF(I27="Signed, not started",Assumptions!$B$14,0)</f>
        <v>1</v>
      </c>
      <c r="P27" s="37" t="n">
        <f aca="false">SUMIFS($H$6:$H$68,$A$6:$A$68,A27)</f>
        <v>5000</v>
      </c>
      <c r="Q27" s="5" t="str">
        <f aca="false">IF(P27&gt;=Assumptions!$B$16,"Head of AM (Gayu)",IF(M27&gt;0,"Same AM as the primary line",IF(G27="US + Canada","AM, US + Canada (test hire)",IF(C27="Paid media","AM, Paid Media, India + RoW","AM, SEO and GEO, India + RoW"))))</f>
        <v>AM, Paid Media, India + RoW</v>
      </c>
    </row>
    <row r="28" customFormat="false" ht="15" hidden="false" customHeight="false" outlineLevel="0" collapsed="false">
      <c r="A28" s="5" t="s">
        <v>196</v>
      </c>
      <c r="B28" s="5" t="s">
        <v>197</v>
      </c>
      <c r="C28" s="5" t="s">
        <v>154</v>
      </c>
      <c r="D28" s="5" t="s">
        <v>194</v>
      </c>
      <c r="E28" s="5" t="s">
        <v>195</v>
      </c>
      <c r="F28" s="5" t="s">
        <v>161</v>
      </c>
      <c r="G28" s="5" t="str">
        <f aca="false">IF(OR(F28="US",F28="US + Canada"),"US + Canada",IF(F28="Untagged","Untagged","India + RoW"))</f>
        <v>US + Canada</v>
      </c>
      <c r="H28" s="21" t="n">
        <v>3500</v>
      </c>
      <c r="I28" s="35" t="s">
        <v>158</v>
      </c>
      <c r="J28" s="35" t="s">
        <v>170</v>
      </c>
      <c r="K28" s="5" t="str">
        <f aca="false">IF(H28&gt;=Assumptions!$B$11,"Enterprise",IF(H28&gt;=Assumptions!$B$12,"Mid","Starter"))</f>
        <v>Starter</v>
      </c>
      <c r="L28" s="36" t="n">
        <f aca="false">IF(K28="Enterprise",Assumptions!$B$8,IF(K28="Mid",Assumptions!$B$9,Assumptions!$B$10))</f>
        <v>0.75</v>
      </c>
      <c r="M28" s="5" t="n">
        <f aca="false">COUNTIFS($A$6:$A$68,A28,$H$6:$H$68,"&gt;"&amp;H28)+COUNTIFS($A$5:A27,A28,$H$5:H27,H28)</f>
        <v>1</v>
      </c>
      <c r="N28" s="5" t="str">
        <f aca="false">IF(M28=0,"Primary line","Second line")</f>
        <v>Second line</v>
      </c>
      <c r="O28" s="36" t="n">
        <f aca="false">L28*IF(M28=0,1,Assumptions!$B$13)+IF(I28="Signed, not started",Assumptions!$B$14,0)</f>
        <v>0.375</v>
      </c>
      <c r="P28" s="37" t="n">
        <f aca="false">SUMIFS($H$6:$H$68,$A$6:$A$68,A28)</f>
        <v>8625</v>
      </c>
      <c r="Q28" s="5" t="str">
        <f aca="false">IF(P28&gt;=Assumptions!$B$16,"Head of AM (Gayu)",IF(M28&gt;0,"Same AM as the primary line",IF(G28="US + Canada","AM, US + Canada (test hire)",IF(C28="Paid media","AM, Paid Media, India + RoW","AM, SEO and GEO, India + RoW"))))</f>
        <v>Same AM as the primary line</v>
      </c>
    </row>
    <row r="29" customFormat="false" ht="15" hidden="false" customHeight="false" outlineLevel="0" collapsed="false">
      <c r="A29" s="5" t="s">
        <v>198</v>
      </c>
      <c r="B29" s="5" t="s">
        <v>198</v>
      </c>
      <c r="C29" s="5" t="s">
        <v>154</v>
      </c>
      <c r="D29" s="5" t="s">
        <v>194</v>
      </c>
      <c r="E29" s="5" t="s">
        <v>195</v>
      </c>
      <c r="F29" s="5" t="s">
        <v>157</v>
      </c>
      <c r="G29" s="5" t="str">
        <f aca="false">IF(OR(F29="US",F29="US + Canada"),"US + Canada",IF(F29="Untagged","Untagged","India + RoW"))</f>
        <v>India + RoW</v>
      </c>
      <c r="H29" s="21" t="n">
        <v>5000</v>
      </c>
      <c r="I29" s="35" t="s">
        <v>158</v>
      </c>
      <c r="J29" s="35"/>
      <c r="K29" s="5" t="str">
        <f aca="false">IF(H29&gt;=Assumptions!$B$11,"Enterprise",IF(H29&gt;=Assumptions!$B$12,"Mid","Starter"))</f>
        <v>Mid</v>
      </c>
      <c r="L29" s="36" t="n">
        <f aca="false">IF(K29="Enterprise",Assumptions!$B$8,IF(K29="Mid",Assumptions!$B$9,Assumptions!$B$10))</f>
        <v>1</v>
      </c>
      <c r="M29" s="5" t="n">
        <f aca="false">COUNTIFS($A$6:$A$68,A29,$H$6:$H$68,"&gt;"&amp;H29)+COUNTIFS($A$5:A28,A29,$H$5:H28,H29)</f>
        <v>0</v>
      </c>
      <c r="N29" s="5" t="str">
        <f aca="false">IF(M29=0,"Primary line","Second line")</f>
        <v>Primary line</v>
      </c>
      <c r="O29" s="36" t="n">
        <f aca="false">L29*IF(M29=0,1,Assumptions!$B$13)+IF(I29="Signed, not started",Assumptions!$B$14,0)</f>
        <v>1</v>
      </c>
      <c r="P29" s="37" t="n">
        <f aca="false">SUMIFS($H$6:$H$68,$A$6:$A$68,A29)</f>
        <v>5000</v>
      </c>
      <c r="Q29" s="5" t="str">
        <f aca="false">IF(P29&gt;=Assumptions!$B$16,"Head of AM (Gayu)",IF(M29&gt;0,"Same AM as the primary line",IF(G29="US + Canada","AM, US + Canada (test hire)",IF(C29="Paid media","AM, Paid Media, India + RoW","AM, SEO and GEO, India + RoW"))))</f>
        <v>AM, Paid Media, India + RoW</v>
      </c>
    </row>
    <row r="30" customFormat="false" ht="15" hidden="false" customHeight="false" outlineLevel="0" collapsed="false">
      <c r="A30" s="5" t="s">
        <v>199</v>
      </c>
      <c r="B30" s="5" t="s">
        <v>199</v>
      </c>
      <c r="C30" s="5" t="s">
        <v>154</v>
      </c>
      <c r="D30" s="5" t="s">
        <v>200</v>
      </c>
      <c r="E30" s="5" t="s">
        <v>195</v>
      </c>
      <c r="F30" s="5" t="s">
        <v>157</v>
      </c>
      <c r="G30" s="5" t="str">
        <f aca="false">IF(OR(F30="US",F30="US + Canada"),"US + Canada",IF(F30="Untagged","Untagged","India + RoW"))</f>
        <v>India + RoW</v>
      </c>
      <c r="H30" s="21" t="n">
        <v>2500</v>
      </c>
      <c r="I30" s="35" t="s">
        <v>158</v>
      </c>
      <c r="J30" s="35" t="s">
        <v>170</v>
      </c>
      <c r="K30" s="5" t="str">
        <f aca="false">IF(H30&gt;=Assumptions!$B$11,"Enterprise",IF(H30&gt;=Assumptions!$B$12,"Mid","Starter"))</f>
        <v>Starter</v>
      </c>
      <c r="L30" s="36" t="n">
        <f aca="false">IF(K30="Enterprise",Assumptions!$B$8,IF(K30="Mid",Assumptions!$B$9,Assumptions!$B$10))</f>
        <v>0.75</v>
      </c>
      <c r="M30" s="5" t="n">
        <f aca="false">COUNTIFS($A$6:$A$68,A30,$H$6:$H$68,"&gt;"&amp;H30)+COUNTIFS($A$5:A29,A30,$H$5:H29,H30)</f>
        <v>1</v>
      </c>
      <c r="N30" s="5" t="str">
        <f aca="false">IF(M30=0,"Primary line","Second line")</f>
        <v>Second line</v>
      </c>
      <c r="O30" s="36" t="n">
        <f aca="false">L30*IF(M30=0,1,Assumptions!$B$13)+IF(I30="Signed, not started",Assumptions!$B$14,0)</f>
        <v>0.375</v>
      </c>
      <c r="P30" s="37" t="n">
        <f aca="false">SUMIFS($H$6:$H$68,$A$6:$A$68,A30)</f>
        <v>5500</v>
      </c>
      <c r="Q30" s="5" t="str">
        <f aca="false">IF(P30&gt;=Assumptions!$B$16,"Head of AM (Gayu)",IF(M30&gt;0,"Same AM as the primary line",IF(G30="US + Canada","AM, US + Canada (test hire)",IF(C30="Paid media","AM, Paid Media, India + RoW","AM, SEO and GEO, India + RoW"))))</f>
        <v>Same AM as the primary line</v>
      </c>
    </row>
    <row r="31" customFormat="false" ht="15" hidden="false" customHeight="false" outlineLevel="0" collapsed="false">
      <c r="A31" s="5" t="s">
        <v>201</v>
      </c>
      <c r="B31" s="5" t="s">
        <v>201</v>
      </c>
      <c r="C31" s="5" t="s">
        <v>154</v>
      </c>
      <c r="D31" s="5" t="s">
        <v>200</v>
      </c>
      <c r="E31" s="5" t="s">
        <v>195</v>
      </c>
      <c r="F31" s="5" t="s">
        <v>166</v>
      </c>
      <c r="G31" s="5" t="str">
        <f aca="false">IF(OR(F31="US",F31="US + Canada"),"US + Canada",IF(F31="Untagged","Untagged","India + RoW"))</f>
        <v>India + RoW</v>
      </c>
      <c r="H31" s="21" t="n">
        <v>10000</v>
      </c>
      <c r="I31" s="35" t="s">
        <v>158</v>
      </c>
      <c r="J31" s="35"/>
      <c r="K31" s="5" t="str">
        <f aca="false">IF(H31&gt;=Assumptions!$B$11,"Enterprise",IF(H31&gt;=Assumptions!$B$12,"Mid","Starter"))</f>
        <v>Enterprise</v>
      </c>
      <c r="L31" s="36" t="n">
        <f aca="false">IF(K31="Enterprise",Assumptions!$B$8,IF(K31="Mid",Assumptions!$B$9,Assumptions!$B$10))</f>
        <v>1.5</v>
      </c>
      <c r="M31" s="5" t="n">
        <f aca="false">COUNTIFS($A$6:$A$68,A31,$H$6:$H$68,"&gt;"&amp;H31)+COUNTIFS($A$5:A30,A31,$H$5:H30,H31)</f>
        <v>0</v>
      </c>
      <c r="N31" s="5" t="str">
        <f aca="false">IF(M31=0,"Primary line","Second line")</f>
        <v>Primary line</v>
      </c>
      <c r="O31" s="36" t="n">
        <f aca="false">L31*IF(M31=0,1,Assumptions!$B$13)+IF(I31="Signed, not started",Assumptions!$B$14,0)</f>
        <v>1.5</v>
      </c>
      <c r="P31" s="37" t="n">
        <f aca="false">SUMIFS($H$6:$H$68,$A$6:$A$68,A31)</f>
        <v>10000</v>
      </c>
      <c r="Q31" s="5" t="str">
        <f aca="false">IF(P31&gt;=Assumptions!$B$16,"Head of AM (Gayu)",IF(M31&gt;0,"Same AM as the primary line",IF(G31="US + Canada","AM, US + Canada (test hire)",IF(C31="Paid media","AM, Paid Media, India + RoW","AM, SEO and GEO, India + RoW"))))</f>
        <v>AM, Paid Media, India + RoW</v>
      </c>
    </row>
    <row r="32" customFormat="false" ht="15" hidden="false" customHeight="false" outlineLevel="0" collapsed="false">
      <c r="A32" s="5" t="s">
        <v>202</v>
      </c>
      <c r="B32" s="5" t="s">
        <v>202</v>
      </c>
      <c r="C32" s="5" t="s">
        <v>154</v>
      </c>
      <c r="D32" s="5" t="s">
        <v>172</v>
      </c>
      <c r="E32" s="5" t="s">
        <v>160</v>
      </c>
      <c r="F32" s="5" t="s">
        <v>161</v>
      </c>
      <c r="G32" s="5" t="str">
        <f aca="false">IF(OR(F32="US",F32="US + Canada"),"US + Canada",IF(F32="Untagged","Untagged","India + RoW"))</f>
        <v>US + Canada</v>
      </c>
      <c r="H32" s="21" t="n">
        <v>10000</v>
      </c>
      <c r="I32" s="35" t="s">
        <v>188</v>
      </c>
      <c r="J32" s="35"/>
      <c r="K32" s="5" t="str">
        <f aca="false">IF(H32&gt;=Assumptions!$B$11,"Enterprise",IF(H32&gt;=Assumptions!$B$12,"Mid","Starter"))</f>
        <v>Enterprise</v>
      </c>
      <c r="L32" s="36" t="n">
        <f aca="false">IF(K32="Enterprise",Assumptions!$B$8,IF(K32="Mid",Assumptions!$B$9,Assumptions!$B$10))</f>
        <v>1.5</v>
      </c>
      <c r="M32" s="5" t="n">
        <f aca="false">COUNTIFS($A$6:$A$68,A32,$H$6:$H$68,"&gt;"&amp;H32)+COUNTIFS($A$5:A31,A32,$H$5:H31,H32)</f>
        <v>0</v>
      </c>
      <c r="N32" s="5" t="str">
        <f aca="false">IF(M32=0,"Primary line","Second line")</f>
        <v>Primary line</v>
      </c>
      <c r="O32" s="36" t="n">
        <f aca="false">L32*IF(M32=0,1,Assumptions!$B$13)+IF(I32="Signed, not started",Assumptions!$B$14,0)</f>
        <v>2</v>
      </c>
      <c r="P32" s="37" t="n">
        <f aca="false">SUMIFS($H$6:$H$68,$A$6:$A$68,A32)</f>
        <v>10000</v>
      </c>
      <c r="Q32" s="5" t="str">
        <f aca="false">IF(P32&gt;=Assumptions!$B$16,"Head of AM (Gayu)",IF(M32&gt;0,"Same AM as the primary line",IF(G32="US + Canada","AM, US + Canada (test hire)",IF(C32="Paid media","AM, Paid Media, India + RoW","AM, SEO and GEO, India + RoW"))))</f>
        <v>AM, US + Canada (test hire)</v>
      </c>
    </row>
    <row r="33" customFormat="false" ht="15" hidden="false" customHeight="false" outlineLevel="0" collapsed="false">
      <c r="A33" s="5" t="s">
        <v>203</v>
      </c>
      <c r="B33" s="5" t="s">
        <v>203</v>
      </c>
      <c r="C33" s="5" t="s">
        <v>154</v>
      </c>
      <c r="D33" s="5" t="s">
        <v>155</v>
      </c>
      <c r="E33" s="5" t="s">
        <v>156</v>
      </c>
      <c r="F33" s="5" t="s">
        <v>157</v>
      </c>
      <c r="G33" s="5" t="str">
        <f aca="false">IF(OR(F33="US",F33="US + Canada"),"US + Canada",IF(F33="Untagged","Untagged","India + RoW"))</f>
        <v>India + RoW</v>
      </c>
      <c r="H33" s="21" t="n">
        <v>5000</v>
      </c>
      <c r="I33" s="35" t="s">
        <v>188</v>
      </c>
      <c r="J33" s="35"/>
      <c r="K33" s="5" t="str">
        <f aca="false">IF(H33&gt;=Assumptions!$B$11,"Enterprise",IF(H33&gt;=Assumptions!$B$12,"Mid","Starter"))</f>
        <v>Mid</v>
      </c>
      <c r="L33" s="36" t="n">
        <f aca="false">IF(K33="Enterprise",Assumptions!$B$8,IF(K33="Mid",Assumptions!$B$9,Assumptions!$B$10))</f>
        <v>1</v>
      </c>
      <c r="M33" s="5" t="n">
        <f aca="false">COUNTIFS($A$6:$A$68,A33,$H$6:$H$68,"&gt;"&amp;H33)+COUNTIFS($A$5:A32,A33,$H$5:H32,H33)</f>
        <v>0</v>
      </c>
      <c r="N33" s="5" t="str">
        <f aca="false">IF(M33=0,"Primary line","Second line")</f>
        <v>Primary line</v>
      </c>
      <c r="O33" s="36" t="n">
        <f aca="false">L33*IF(M33=0,1,Assumptions!$B$13)+IF(I33="Signed, not started",Assumptions!$B$14,0)</f>
        <v>1.5</v>
      </c>
      <c r="P33" s="37" t="n">
        <f aca="false">SUMIFS($H$6:$H$68,$A$6:$A$68,A33)</f>
        <v>5000</v>
      </c>
      <c r="Q33" s="5" t="str">
        <f aca="false">IF(P33&gt;=Assumptions!$B$16,"Head of AM (Gayu)",IF(M33&gt;0,"Same AM as the primary line",IF(G33="US + Canada","AM, US + Canada (test hire)",IF(C33="Paid media","AM, Paid Media, India + RoW","AM, SEO and GEO, India + RoW"))))</f>
        <v>AM, Paid Media, India + RoW</v>
      </c>
    </row>
    <row r="34" customFormat="false" ht="15" hidden="false" customHeight="false" outlineLevel="0" collapsed="false">
      <c r="A34" s="5" t="s">
        <v>204</v>
      </c>
      <c r="B34" s="5" t="s">
        <v>204</v>
      </c>
      <c r="C34" s="5" t="s">
        <v>154</v>
      </c>
      <c r="D34" s="5" t="s">
        <v>191</v>
      </c>
      <c r="E34" s="5" t="s">
        <v>156</v>
      </c>
      <c r="F34" s="5" t="s">
        <v>157</v>
      </c>
      <c r="G34" s="5" t="str">
        <f aca="false">IF(OR(F34="US",F34="US + Canada"),"US + Canada",IF(F34="Untagged","Untagged","India + RoW"))</f>
        <v>India + RoW</v>
      </c>
      <c r="H34" s="21" t="n">
        <v>3000</v>
      </c>
      <c r="I34" s="35" t="s">
        <v>188</v>
      </c>
      <c r="J34" s="35"/>
      <c r="K34" s="5" t="str">
        <f aca="false">IF(H34&gt;=Assumptions!$B$11,"Enterprise",IF(H34&gt;=Assumptions!$B$12,"Mid","Starter"))</f>
        <v>Starter</v>
      </c>
      <c r="L34" s="36" t="n">
        <f aca="false">IF(K34="Enterprise",Assumptions!$B$8,IF(K34="Mid",Assumptions!$B$9,Assumptions!$B$10))</f>
        <v>0.75</v>
      </c>
      <c r="M34" s="5" t="n">
        <f aca="false">COUNTIFS($A$6:$A$68,A34,$H$6:$H$68,"&gt;"&amp;H34)+COUNTIFS($A$5:A33,A34,$H$5:H33,H34)</f>
        <v>0</v>
      </c>
      <c r="N34" s="5" t="str">
        <f aca="false">IF(M34=0,"Primary line","Second line")</f>
        <v>Primary line</v>
      </c>
      <c r="O34" s="36" t="n">
        <f aca="false">L34*IF(M34=0,1,Assumptions!$B$13)+IF(I34="Signed, not started",Assumptions!$B$14,0)</f>
        <v>1.25</v>
      </c>
      <c r="P34" s="37" t="n">
        <f aca="false">SUMIFS($H$6:$H$68,$A$6:$A$68,A34)</f>
        <v>3000</v>
      </c>
      <c r="Q34" s="5" t="str">
        <f aca="false">IF(P34&gt;=Assumptions!$B$16,"Head of AM (Gayu)",IF(M34&gt;0,"Same AM as the primary line",IF(G34="US + Canada","AM, US + Canada (test hire)",IF(C34="Paid media","AM, Paid Media, India + RoW","AM, SEO and GEO, India + RoW"))))</f>
        <v>AM, Paid Media, India + RoW</v>
      </c>
    </row>
    <row r="35" customFormat="false" ht="15" hidden="false" customHeight="false" outlineLevel="0" collapsed="false">
      <c r="A35" s="5" t="s">
        <v>205</v>
      </c>
      <c r="B35" s="5" t="s">
        <v>205</v>
      </c>
      <c r="C35" s="5" t="s">
        <v>206</v>
      </c>
      <c r="D35" s="5" t="s">
        <v>207</v>
      </c>
      <c r="E35" s="5" t="s">
        <v>208</v>
      </c>
      <c r="F35" s="5" t="s">
        <v>209</v>
      </c>
      <c r="G35" s="5" t="str">
        <f aca="false">IF(OR(F35="US",F35="US + Canada"),"US + Canada",IF(F35="Untagged","Untagged","India + RoW"))</f>
        <v>India + RoW</v>
      </c>
      <c r="H35" s="21" t="n">
        <v>7500</v>
      </c>
      <c r="I35" s="35" t="s">
        <v>158</v>
      </c>
      <c r="J35" s="35" t="s">
        <v>210</v>
      </c>
      <c r="K35" s="5" t="str">
        <f aca="false">IF(H35&gt;=Assumptions!$B$11,"Enterprise",IF(H35&gt;=Assumptions!$B$12,"Mid","Starter"))</f>
        <v>Enterprise</v>
      </c>
      <c r="L35" s="36" t="n">
        <f aca="false">IF(K35="Enterprise",Assumptions!$B$8,IF(K35="Mid",Assumptions!$B$9,Assumptions!$B$10))</f>
        <v>1.5</v>
      </c>
      <c r="M35" s="5" t="n">
        <f aca="false">COUNTIFS($A$6:$A$68,A35,$H$6:$H$68,"&gt;"&amp;H35)+COUNTIFS($A$5:A34,A35,$H$5:H34,H35)</f>
        <v>0</v>
      </c>
      <c r="N35" s="5" t="str">
        <f aca="false">IF(M35=0,"Primary line","Second line")</f>
        <v>Primary line</v>
      </c>
      <c r="O35" s="36" t="n">
        <f aca="false">L35*IF(M35=0,1,Assumptions!$B$13)+IF(I35="Signed, not started",Assumptions!$B$14,0)</f>
        <v>1.5</v>
      </c>
      <c r="P35" s="37" t="n">
        <f aca="false">SUMIFS($H$6:$H$68,$A$6:$A$68,A35)</f>
        <v>7500</v>
      </c>
      <c r="Q35" s="5" t="str">
        <f aca="false">IF(P35&gt;=Assumptions!$B$16,"Head of AM (Gayu)",IF(M35&gt;0,"Same AM as the primary line",IF(G35="US + Canada","AM, US + Canada (test hire)",IF(C35="Paid media","AM, Paid Media, India + RoW","AM, SEO and GEO, India + RoW"))))</f>
        <v>AM, SEO and GEO, India + RoW</v>
      </c>
    </row>
    <row r="36" customFormat="false" ht="15" hidden="false" customHeight="false" outlineLevel="0" collapsed="false">
      <c r="A36" s="5" t="s">
        <v>211</v>
      </c>
      <c r="B36" s="5" t="s">
        <v>211</v>
      </c>
      <c r="C36" s="5" t="s">
        <v>206</v>
      </c>
      <c r="D36" s="5" t="s">
        <v>207</v>
      </c>
      <c r="E36" s="5" t="s">
        <v>208</v>
      </c>
      <c r="F36" s="5" t="s">
        <v>209</v>
      </c>
      <c r="G36" s="5" t="str">
        <f aca="false">IF(OR(F36="US",F36="US + Canada"),"US + Canada",IF(F36="Untagged","Untagged","India + RoW"))</f>
        <v>India + RoW</v>
      </c>
      <c r="H36" s="21" t="n">
        <v>7700</v>
      </c>
      <c r="I36" s="35" t="s">
        <v>158</v>
      </c>
      <c r="J36" s="35"/>
      <c r="K36" s="5" t="str">
        <f aca="false">IF(H36&gt;=Assumptions!$B$11,"Enterprise",IF(H36&gt;=Assumptions!$B$12,"Mid","Starter"))</f>
        <v>Enterprise</v>
      </c>
      <c r="L36" s="36" t="n">
        <f aca="false">IF(K36="Enterprise",Assumptions!$B$8,IF(K36="Mid",Assumptions!$B$9,Assumptions!$B$10))</f>
        <v>1.5</v>
      </c>
      <c r="M36" s="5" t="n">
        <f aca="false">COUNTIFS($A$6:$A$68,A36,$H$6:$H$68,"&gt;"&amp;H36)+COUNTIFS($A$5:A35,A36,$H$5:H35,H36)</f>
        <v>0</v>
      </c>
      <c r="N36" s="5" t="str">
        <f aca="false">IF(M36=0,"Primary line","Second line")</f>
        <v>Primary line</v>
      </c>
      <c r="O36" s="36" t="n">
        <f aca="false">L36*IF(M36=0,1,Assumptions!$B$13)+IF(I36="Signed, not started",Assumptions!$B$14,0)</f>
        <v>1.5</v>
      </c>
      <c r="P36" s="37" t="n">
        <f aca="false">SUMIFS($H$6:$H$68,$A$6:$A$68,A36)</f>
        <v>7700</v>
      </c>
      <c r="Q36" s="5" t="str">
        <f aca="false">IF(P36&gt;=Assumptions!$B$16,"Head of AM (Gayu)",IF(M36&gt;0,"Same AM as the primary line",IF(G36="US + Canada","AM, US + Canada (test hire)",IF(C36="Paid media","AM, Paid Media, India + RoW","AM, SEO and GEO, India + RoW"))))</f>
        <v>AM, SEO and GEO, India + RoW</v>
      </c>
    </row>
    <row r="37" customFormat="false" ht="15" hidden="false" customHeight="false" outlineLevel="0" collapsed="false">
      <c r="A37" s="5" t="s">
        <v>212</v>
      </c>
      <c r="B37" s="5" t="s">
        <v>212</v>
      </c>
      <c r="C37" s="5" t="s">
        <v>206</v>
      </c>
      <c r="D37" s="5" t="s">
        <v>207</v>
      </c>
      <c r="E37" s="5" t="s">
        <v>208</v>
      </c>
      <c r="F37" s="5" t="s">
        <v>209</v>
      </c>
      <c r="G37" s="5" t="str">
        <f aca="false">IF(OR(F37="US",F37="US + Canada"),"US + Canada",IF(F37="Untagged","Untagged","India + RoW"))</f>
        <v>India + RoW</v>
      </c>
      <c r="H37" s="21" t="n">
        <v>5500</v>
      </c>
      <c r="I37" s="35" t="s">
        <v>158</v>
      </c>
      <c r="J37" s="35"/>
      <c r="K37" s="5" t="str">
        <f aca="false">IF(H37&gt;=Assumptions!$B$11,"Enterprise",IF(H37&gt;=Assumptions!$B$12,"Mid","Starter"))</f>
        <v>Mid</v>
      </c>
      <c r="L37" s="36" t="n">
        <f aca="false">IF(K37="Enterprise",Assumptions!$B$8,IF(K37="Mid",Assumptions!$B$9,Assumptions!$B$10))</f>
        <v>1</v>
      </c>
      <c r="M37" s="5" t="n">
        <f aca="false">COUNTIFS($A$6:$A$68,A37,$H$6:$H$68,"&gt;"&amp;H37)+COUNTIFS($A$5:A36,A37,$H$5:H36,H37)</f>
        <v>0</v>
      </c>
      <c r="N37" s="5" t="str">
        <f aca="false">IF(M37=0,"Primary line","Second line")</f>
        <v>Primary line</v>
      </c>
      <c r="O37" s="36" t="n">
        <f aca="false">L37*IF(M37=0,1,Assumptions!$B$13)+IF(I37="Signed, not started",Assumptions!$B$14,0)</f>
        <v>1</v>
      </c>
      <c r="P37" s="37" t="n">
        <f aca="false">SUMIFS($H$6:$H$68,$A$6:$A$68,A37)</f>
        <v>5500</v>
      </c>
      <c r="Q37" s="5" t="str">
        <f aca="false">IF(P37&gt;=Assumptions!$B$16,"Head of AM (Gayu)",IF(M37&gt;0,"Same AM as the primary line",IF(G37="US + Canada","AM, US + Canada (test hire)",IF(C37="Paid media","AM, Paid Media, India + RoW","AM, SEO and GEO, India + RoW"))))</f>
        <v>AM, SEO and GEO, India + RoW</v>
      </c>
    </row>
    <row r="38" customFormat="false" ht="15" hidden="false" customHeight="false" outlineLevel="0" collapsed="false">
      <c r="A38" s="5" t="s">
        <v>213</v>
      </c>
      <c r="B38" s="5" t="s">
        <v>214</v>
      </c>
      <c r="C38" s="5" t="s">
        <v>206</v>
      </c>
      <c r="D38" s="5" t="s">
        <v>207</v>
      </c>
      <c r="E38" s="5" t="s">
        <v>208</v>
      </c>
      <c r="F38" s="5" t="s">
        <v>209</v>
      </c>
      <c r="G38" s="5" t="str">
        <f aca="false">IF(OR(F38="US",F38="US + Canada"),"US + Canada",IF(F38="Untagged","Untagged","India + RoW"))</f>
        <v>India + RoW</v>
      </c>
      <c r="H38" s="21" t="n">
        <v>5000</v>
      </c>
      <c r="I38" s="35" t="s">
        <v>158</v>
      </c>
      <c r="J38" s="35"/>
      <c r="K38" s="5" t="str">
        <f aca="false">IF(H38&gt;=Assumptions!$B$11,"Enterprise",IF(H38&gt;=Assumptions!$B$12,"Mid","Starter"))</f>
        <v>Mid</v>
      </c>
      <c r="L38" s="36" t="n">
        <f aca="false">IF(K38="Enterprise",Assumptions!$B$8,IF(K38="Mid",Assumptions!$B$9,Assumptions!$B$10))</f>
        <v>1</v>
      </c>
      <c r="M38" s="5" t="n">
        <f aca="false">COUNTIFS($A$6:$A$68,A38,$H$6:$H$68,"&gt;"&amp;H38)+COUNTIFS($A$5:A37,A38,$H$5:H37,H38)</f>
        <v>0</v>
      </c>
      <c r="N38" s="5" t="str">
        <f aca="false">IF(M38=0,"Primary line","Second line")</f>
        <v>Primary line</v>
      </c>
      <c r="O38" s="36" t="n">
        <f aca="false">L38*IF(M38=0,1,Assumptions!$B$13)+IF(I38="Signed, not started",Assumptions!$B$14,0)</f>
        <v>1</v>
      </c>
      <c r="P38" s="37" t="n">
        <f aca="false">SUMIFS($H$6:$H$68,$A$6:$A$68,A38)</f>
        <v>5000</v>
      </c>
      <c r="Q38" s="5" t="str">
        <f aca="false">IF(P38&gt;=Assumptions!$B$16,"Head of AM (Gayu)",IF(M38&gt;0,"Same AM as the primary line",IF(G38="US + Canada","AM, US + Canada (test hire)",IF(C38="Paid media","AM, Paid Media, India + RoW","AM, SEO and GEO, India + RoW"))))</f>
        <v>AM, SEO and GEO, India + RoW</v>
      </c>
    </row>
    <row r="39" customFormat="false" ht="15" hidden="false" customHeight="false" outlineLevel="0" collapsed="false">
      <c r="A39" s="5" t="s">
        <v>177</v>
      </c>
      <c r="B39" s="5" t="s">
        <v>215</v>
      </c>
      <c r="C39" s="5" t="s">
        <v>206</v>
      </c>
      <c r="D39" s="5" t="s">
        <v>207</v>
      </c>
      <c r="E39" s="5" t="s">
        <v>208</v>
      </c>
      <c r="F39" s="5" t="s">
        <v>209</v>
      </c>
      <c r="G39" s="5" t="str">
        <f aca="false">IF(OR(F39="US",F39="US + Canada"),"US + Canada",IF(F39="Untagged","Untagged","India + RoW"))</f>
        <v>India + RoW</v>
      </c>
      <c r="H39" s="21" t="n">
        <v>5000</v>
      </c>
      <c r="I39" s="35" t="s">
        <v>158</v>
      </c>
      <c r="J39" s="35"/>
      <c r="K39" s="5" t="str">
        <f aca="false">IF(H39&gt;=Assumptions!$B$11,"Enterprise",IF(H39&gt;=Assumptions!$B$12,"Mid","Starter"))</f>
        <v>Mid</v>
      </c>
      <c r="L39" s="36" t="n">
        <f aca="false">IF(K39="Enterprise",Assumptions!$B$8,IF(K39="Mid",Assumptions!$B$9,Assumptions!$B$10))</f>
        <v>1</v>
      </c>
      <c r="M39" s="5" t="n">
        <f aca="false">COUNTIFS($A$6:$A$68,A39,$H$6:$H$68,"&gt;"&amp;H39)+COUNTIFS($A$5:A38,A39,$H$5:H38,H39)</f>
        <v>0</v>
      </c>
      <c r="N39" s="5" t="str">
        <f aca="false">IF(M39=0,"Primary line","Second line")</f>
        <v>Primary line</v>
      </c>
      <c r="O39" s="36" t="n">
        <f aca="false">L39*IF(M39=0,1,Assumptions!$B$13)+IF(I39="Signed, not started",Assumptions!$B$14,0)</f>
        <v>1</v>
      </c>
      <c r="P39" s="37" t="n">
        <f aca="false">SUMIFS($H$6:$H$68,$A$6:$A$68,A39)</f>
        <v>7500</v>
      </c>
      <c r="Q39" s="5" t="str">
        <f aca="false">IF(P39&gt;=Assumptions!$B$16,"Head of AM (Gayu)",IF(M39&gt;0,"Same AM as the primary line",IF(G39="US + Canada","AM, US + Canada (test hire)",IF(C39="Paid media","AM, Paid Media, India + RoW","AM, SEO and GEO, India + RoW"))))</f>
        <v>AM, SEO and GEO, India + RoW</v>
      </c>
    </row>
    <row r="40" customFormat="false" ht="15" hidden="false" customHeight="false" outlineLevel="0" collapsed="false">
      <c r="A40" s="5" t="s">
        <v>216</v>
      </c>
      <c r="B40" s="5" t="s">
        <v>216</v>
      </c>
      <c r="C40" s="5" t="s">
        <v>206</v>
      </c>
      <c r="D40" s="5" t="s">
        <v>207</v>
      </c>
      <c r="E40" s="5" t="s">
        <v>208</v>
      </c>
      <c r="F40" s="5" t="s">
        <v>161</v>
      </c>
      <c r="G40" s="5" t="str">
        <f aca="false">IF(OR(F40="US",F40="US + Canada"),"US + Canada",IF(F40="Untagged","Untagged","India + RoW"))</f>
        <v>US + Canada</v>
      </c>
      <c r="H40" s="21" t="n">
        <v>5000</v>
      </c>
      <c r="I40" s="35" t="s">
        <v>158</v>
      </c>
      <c r="J40" s="35" t="s">
        <v>217</v>
      </c>
      <c r="K40" s="5" t="str">
        <f aca="false">IF(H40&gt;=Assumptions!$B$11,"Enterprise",IF(H40&gt;=Assumptions!$B$12,"Mid","Starter"))</f>
        <v>Mid</v>
      </c>
      <c r="L40" s="36" t="n">
        <f aca="false">IF(K40="Enterprise",Assumptions!$B$8,IF(K40="Mid",Assumptions!$B$9,Assumptions!$B$10))</f>
        <v>1</v>
      </c>
      <c r="M40" s="5" t="n">
        <f aca="false">COUNTIFS($A$6:$A$68,A40,$H$6:$H$68,"&gt;"&amp;H40)+COUNTIFS($A$5:A39,A40,$H$5:H39,H40)</f>
        <v>0</v>
      </c>
      <c r="N40" s="5" t="str">
        <f aca="false">IF(M40=0,"Primary line","Second line")</f>
        <v>Primary line</v>
      </c>
      <c r="O40" s="36" t="n">
        <f aca="false">L40*IF(M40=0,1,Assumptions!$B$13)+IF(I40="Signed, not started",Assumptions!$B$14,0)</f>
        <v>1</v>
      </c>
      <c r="P40" s="37" t="n">
        <f aca="false">SUMIFS($H$6:$H$68,$A$6:$A$68,A40)</f>
        <v>5000</v>
      </c>
      <c r="Q40" s="5" t="str">
        <f aca="false">IF(P40&gt;=Assumptions!$B$16,"Head of AM (Gayu)",IF(M40&gt;0,"Same AM as the primary line",IF(G40="US + Canada","AM, US + Canada (test hire)",IF(C40="Paid media","AM, Paid Media, India + RoW","AM, SEO and GEO, India + RoW"))))</f>
        <v>AM, US + Canada (test hire)</v>
      </c>
    </row>
    <row r="41" customFormat="false" ht="15" hidden="false" customHeight="false" outlineLevel="0" collapsed="false">
      <c r="A41" s="5" t="s">
        <v>218</v>
      </c>
      <c r="B41" s="5" t="s">
        <v>218</v>
      </c>
      <c r="C41" s="5" t="s">
        <v>206</v>
      </c>
      <c r="D41" s="5" t="s">
        <v>207</v>
      </c>
      <c r="E41" s="5" t="s">
        <v>208</v>
      </c>
      <c r="F41" s="5" t="s">
        <v>209</v>
      </c>
      <c r="G41" s="5" t="str">
        <f aca="false">IF(OR(F41="US",F41="US + Canada"),"US + Canada",IF(F41="Untagged","Untagged","India + RoW"))</f>
        <v>India + RoW</v>
      </c>
      <c r="H41" s="21" t="n">
        <v>3000</v>
      </c>
      <c r="I41" s="35" t="s">
        <v>158</v>
      </c>
      <c r="J41" s="35"/>
      <c r="K41" s="5" t="str">
        <f aca="false">IF(H41&gt;=Assumptions!$B$11,"Enterprise",IF(H41&gt;=Assumptions!$B$12,"Mid","Starter"))</f>
        <v>Starter</v>
      </c>
      <c r="L41" s="36" t="n">
        <f aca="false">IF(K41="Enterprise",Assumptions!$B$8,IF(K41="Mid",Assumptions!$B$9,Assumptions!$B$10))</f>
        <v>0.75</v>
      </c>
      <c r="M41" s="5" t="n">
        <f aca="false">COUNTIFS($A$6:$A$68,A41,$H$6:$H$68,"&gt;"&amp;H41)+COUNTIFS($A$5:A40,A41,$H$5:H40,H41)</f>
        <v>0</v>
      </c>
      <c r="N41" s="5" t="str">
        <f aca="false">IF(M41=0,"Primary line","Second line")</f>
        <v>Primary line</v>
      </c>
      <c r="O41" s="36" t="n">
        <f aca="false">L41*IF(M41=0,1,Assumptions!$B$13)+IF(I41="Signed, not started",Assumptions!$B$14,0)</f>
        <v>0.75</v>
      </c>
      <c r="P41" s="37" t="n">
        <f aca="false">SUMIFS($H$6:$H$68,$A$6:$A$68,A41)</f>
        <v>3000</v>
      </c>
      <c r="Q41" s="5" t="str">
        <f aca="false">IF(P41&gt;=Assumptions!$B$16,"Head of AM (Gayu)",IF(M41&gt;0,"Same AM as the primary line",IF(G41="US + Canada","AM, US + Canada (test hire)",IF(C41="Paid media","AM, Paid Media, India + RoW","AM, SEO and GEO, India + RoW"))))</f>
        <v>AM, SEO and GEO, India + RoW</v>
      </c>
    </row>
    <row r="42" customFormat="false" ht="15" hidden="false" customHeight="false" outlineLevel="0" collapsed="false">
      <c r="A42" s="5" t="s">
        <v>219</v>
      </c>
      <c r="B42" s="5" t="s">
        <v>219</v>
      </c>
      <c r="C42" s="5" t="s">
        <v>206</v>
      </c>
      <c r="D42" s="5" t="s">
        <v>220</v>
      </c>
      <c r="E42" s="5" t="s">
        <v>221</v>
      </c>
      <c r="F42" s="5" t="s">
        <v>222</v>
      </c>
      <c r="G42" s="5" t="str">
        <f aca="false">IF(OR(F42="US",F42="US + Canada"),"US + Canada",IF(F42="Untagged","Untagged","India + RoW"))</f>
        <v>Untagged</v>
      </c>
      <c r="H42" s="21" t="n">
        <v>5000</v>
      </c>
      <c r="I42" s="35" t="s">
        <v>158</v>
      </c>
      <c r="J42" s="35" t="s">
        <v>223</v>
      </c>
      <c r="K42" s="5" t="str">
        <f aca="false">IF(H42&gt;=Assumptions!$B$11,"Enterprise",IF(H42&gt;=Assumptions!$B$12,"Mid","Starter"))</f>
        <v>Mid</v>
      </c>
      <c r="L42" s="36" t="n">
        <f aca="false">IF(K42="Enterprise",Assumptions!$B$8,IF(K42="Mid",Assumptions!$B$9,Assumptions!$B$10))</f>
        <v>1</v>
      </c>
      <c r="M42" s="5" t="n">
        <f aca="false">COUNTIFS($A$6:$A$68,A42,$H$6:$H$68,"&gt;"&amp;H42)+COUNTIFS($A$5:A41,A42,$H$5:H41,H42)</f>
        <v>0</v>
      </c>
      <c r="N42" s="5" t="str">
        <f aca="false">IF(M42=0,"Primary line","Second line")</f>
        <v>Primary line</v>
      </c>
      <c r="O42" s="36" t="n">
        <f aca="false">L42*IF(M42=0,1,Assumptions!$B$13)+IF(I42="Signed, not started",Assumptions!$B$14,0)</f>
        <v>1</v>
      </c>
      <c r="P42" s="37" t="n">
        <f aca="false">SUMIFS($H$6:$H$68,$A$6:$A$68,A42)</f>
        <v>5000</v>
      </c>
      <c r="Q42" s="5" t="str">
        <f aca="false">IF(P42&gt;=Assumptions!$B$16,"Head of AM (Gayu)",IF(M42&gt;0,"Same AM as the primary line",IF(G42="US + Canada","AM, US + Canada (test hire)",IF(C42="Paid media","AM, Paid Media, India + RoW","AM, SEO and GEO, India + RoW"))))</f>
        <v>AM, SEO and GEO, India + RoW</v>
      </c>
    </row>
    <row r="43" customFormat="false" ht="15" hidden="false" customHeight="false" outlineLevel="0" collapsed="false">
      <c r="A43" s="5" t="s">
        <v>224</v>
      </c>
      <c r="B43" s="5" t="s">
        <v>224</v>
      </c>
      <c r="C43" s="5" t="s">
        <v>206</v>
      </c>
      <c r="D43" s="5" t="s">
        <v>220</v>
      </c>
      <c r="E43" s="5" t="s">
        <v>221</v>
      </c>
      <c r="F43" s="5" t="s">
        <v>222</v>
      </c>
      <c r="G43" s="5" t="str">
        <f aca="false">IF(OR(F43="US",F43="US + Canada"),"US + Canada",IF(F43="Untagged","Untagged","India + RoW"))</f>
        <v>Untagged</v>
      </c>
      <c r="H43" s="21" t="n">
        <v>6500</v>
      </c>
      <c r="I43" s="35" t="s">
        <v>158</v>
      </c>
      <c r="J43" s="35" t="s">
        <v>210</v>
      </c>
      <c r="K43" s="5" t="str">
        <f aca="false">IF(H43&gt;=Assumptions!$B$11,"Enterprise",IF(H43&gt;=Assumptions!$B$12,"Mid","Starter"))</f>
        <v>Mid</v>
      </c>
      <c r="L43" s="36" t="n">
        <f aca="false">IF(K43="Enterprise",Assumptions!$B$8,IF(K43="Mid",Assumptions!$B$9,Assumptions!$B$10))</f>
        <v>1</v>
      </c>
      <c r="M43" s="5" t="n">
        <f aca="false">COUNTIFS($A$6:$A$68,A43,$H$6:$H$68,"&gt;"&amp;H43)+COUNTIFS($A$5:A42,A43,$H$5:H42,H43)</f>
        <v>0</v>
      </c>
      <c r="N43" s="5" t="str">
        <f aca="false">IF(M43=0,"Primary line","Second line")</f>
        <v>Primary line</v>
      </c>
      <c r="O43" s="36" t="n">
        <f aca="false">L43*IF(M43=0,1,Assumptions!$B$13)+IF(I43="Signed, not started",Assumptions!$B$14,0)</f>
        <v>1</v>
      </c>
      <c r="P43" s="37" t="n">
        <f aca="false">SUMIFS($H$6:$H$68,$A$6:$A$68,A43)</f>
        <v>6500</v>
      </c>
      <c r="Q43" s="5" t="str">
        <f aca="false">IF(P43&gt;=Assumptions!$B$16,"Head of AM (Gayu)",IF(M43&gt;0,"Same AM as the primary line",IF(G43="US + Canada","AM, US + Canada (test hire)",IF(C43="Paid media","AM, Paid Media, India + RoW","AM, SEO and GEO, India + RoW"))))</f>
        <v>AM, SEO and GEO, India + RoW</v>
      </c>
    </row>
    <row r="44" customFormat="false" ht="15" hidden="false" customHeight="false" outlineLevel="0" collapsed="false">
      <c r="A44" s="5" t="s">
        <v>225</v>
      </c>
      <c r="B44" s="5" t="s">
        <v>225</v>
      </c>
      <c r="C44" s="5" t="s">
        <v>206</v>
      </c>
      <c r="D44" s="5" t="s">
        <v>220</v>
      </c>
      <c r="E44" s="5" t="s">
        <v>221</v>
      </c>
      <c r="F44" s="5" t="s">
        <v>222</v>
      </c>
      <c r="G44" s="5" t="str">
        <f aca="false">IF(OR(F44="US",F44="US + Canada"),"US + Canada",IF(F44="Untagged","Untagged","India + RoW"))</f>
        <v>Untagged</v>
      </c>
      <c r="H44" s="21" t="n">
        <v>5000</v>
      </c>
      <c r="I44" s="35" t="s">
        <v>158</v>
      </c>
      <c r="J44" s="35"/>
      <c r="K44" s="5" t="str">
        <f aca="false">IF(H44&gt;=Assumptions!$B$11,"Enterprise",IF(H44&gt;=Assumptions!$B$12,"Mid","Starter"))</f>
        <v>Mid</v>
      </c>
      <c r="L44" s="36" t="n">
        <f aca="false">IF(K44="Enterprise",Assumptions!$B$8,IF(K44="Mid",Assumptions!$B$9,Assumptions!$B$10))</f>
        <v>1</v>
      </c>
      <c r="M44" s="5" t="n">
        <f aca="false">COUNTIFS($A$6:$A$68,A44,$H$6:$H$68,"&gt;"&amp;H44)+COUNTIFS($A$5:A43,A44,$H$5:H43,H44)</f>
        <v>0</v>
      </c>
      <c r="N44" s="5" t="str">
        <f aca="false">IF(M44=0,"Primary line","Second line")</f>
        <v>Primary line</v>
      </c>
      <c r="O44" s="36" t="n">
        <f aca="false">L44*IF(M44=0,1,Assumptions!$B$13)+IF(I44="Signed, not started",Assumptions!$B$14,0)</f>
        <v>1</v>
      </c>
      <c r="P44" s="37" t="n">
        <f aca="false">SUMIFS($H$6:$H$68,$A$6:$A$68,A44)</f>
        <v>5000</v>
      </c>
      <c r="Q44" s="5" t="str">
        <f aca="false">IF(P44&gt;=Assumptions!$B$16,"Head of AM (Gayu)",IF(M44&gt;0,"Same AM as the primary line",IF(G44="US + Canada","AM, US + Canada (test hire)",IF(C44="Paid media","AM, Paid Media, India + RoW","AM, SEO and GEO, India + RoW"))))</f>
        <v>AM, SEO and GEO, India + RoW</v>
      </c>
    </row>
    <row r="45" customFormat="false" ht="15" hidden="false" customHeight="false" outlineLevel="0" collapsed="false">
      <c r="A45" s="5" t="s">
        <v>226</v>
      </c>
      <c r="B45" s="5" t="s">
        <v>226</v>
      </c>
      <c r="C45" s="5" t="s">
        <v>206</v>
      </c>
      <c r="D45" s="5" t="s">
        <v>220</v>
      </c>
      <c r="E45" s="5" t="s">
        <v>221</v>
      </c>
      <c r="F45" s="5" t="s">
        <v>222</v>
      </c>
      <c r="G45" s="5" t="str">
        <f aca="false">IF(OR(F45="US",F45="US + Canada"),"US + Canada",IF(F45="Untagged","Untagged","India + RoW"))</f>
        <v>Untagged</v>
      </c>
      <c r="H45" s="21" t="n">
        <v>3300</v>
      </c>
      <c r="I45" s="35" t="s">
        <v>158</v>
      </c>
      <c r="J45" s="35"/>
      <c r="K45" s="5" t="str">
        <f aca="false">IF(H45&gt;=Assumptions!$B$11,"Enterprise",IF(H45&gt;=Assumptions!$B$12,"Mid","Starter"))</f>
        <v>Starter</v>
      </c>
      <c r="L45" s="36" t="n">
        <f aca="false">IF(K45="Enterprise",Assumptions!$B$8,IF(K45="Mid",Assumptions!$B$9,Assumptions!$B$10))</f>
        <v>0.75</v>
      </c>
      <c r="M45" s="5" t="n">
        <f aca="false">COUNTIFS($A$6:$A$68,A45,$H$6:$H$68,"&gt;"&amp;H45)+COUNTIFS($A$5:A44,A45,$H$5:H44,H45)</f>
        <v>0</v>
      </c>
      <c r="N45" s="5" t="str">
        <f aca="false">IF(M45=0,"Primary line","Second line")</f>
        <v>Primary line</v>
      </c>
      <c r="O45" s="36" t="n">
        <f aca="false">L45*IF(M45=0,1,Assumptions!$B$13)+IF(I45="Signed, not started",Assumptions!$B$14,0)</f>
        <v>0.75</v>
      </c>
      <c r="P45" s="37" t="n">
        <f aca="false">SUMIFS($H$6:$H$68,$A$6:$A$68,A45)</f>
        <v>3300</v>
      </c>
      <c r="Q45" s="5" t="str">
        <f aca="false">IF(P45&gt;=Assumptions!$B$16,"Head of AM (Gayu)",IF(M45&gt;0,"Same AM as the primary line",IF(G45="US + Canada","AM, US + Canada (test hire)",IF(C45="Paid media","AM, Paid Media, India + RoW","AM, SEO and GEO, India + RoW"))))</f>
        <v>AM, SEO and GEO, India + RoW</v>
      </c>
    </row>
    <row r="46" customFormat="false" ht="15" hidden="false" customHeight="false" outlineLevel="0" collapsed="false">
      <c r="A46" s="5" t="s">
        <v>196</v>
      </c>
      <c r="B46" s="5" t="s">
        <v>227</v>
      </c>
      <c r="C46" s="5" t="s">
        <v>206</v>
      </c>
      <c r="D46" s="5" t="s">
        <v>220</v>
      </c>
      <c r="E46" s="5" t="s">
        <v>221</v>
      </c>
      <c r="F46" s="5" t="s">
        <v>161</v>
      </c>
      <c r="G46" s="5" t="str">
        <f aca="false">IF(OR(F46="US",F46="US + Canada"),"US + Canada",IF(F46="Untagged","Untagged","India + RoW"))</f>
        <v>US + Canada</v>
      </c>
      <c r="H46" s="21" t="n">
        <v>5125</v>
      </c>
      <c r="I46" s="35" t="s">
        <v>158</v>
      </c>
      <c r="J46" s="35"/>
      <c r="K46" s="5" t="str">
        <f aca="false">IF(H46&gt;=Assumptions!$B$11,"Enterprise",IF(H46&gt;=Assumptions!$B$12,"Mid","Starter"))</f>
        <v>Mid</v>
      </c>
      <c r="L46" s="36" t="n">
        <f aca="false">IF(K46="Enterprise",Assumptions!$B$8,IF(K46="Mid",Assumptions!$B$9,Assumptions!$B$10))</f>
        <v>1</v>
      </c>
      <c r="M46" s="5" t="n">
        <f aca="false">COUNTIFS($A$6:$A$68,A46,$H$6:$H$68,"&gt;"&amp;H46)+COUNTIFS($A$5:A45,A46,$H$5:H45,H46)</f>
        <v>0</v>
      </c>
      <c r="N46" s="5" t="str">
        <f aca="false">IF(M46=0,"Primary line","Second line")</f>
        <v>Primary line</v>
      </c>
      <c r="O46" s="36" t="n">
        <f aca="false">L46*IF(M46=0,1,Assumptions!$B$13)+IF(I46="Signed, not started",Assumptions!$B$14,0)</f>
        <v>1</v>
      </c>
      <c r="P46" s="37" t="n">
        <f aca="false">SUMIFS($H$6:$H$68,$A$6:$A$68,A46)</f>
        <v>8625</v>
      </c>
      <c r="Q46" s="5" t="str">
        <f aca="false">IF(P46&gt;=Assumptions!$B$16,"Head of AM (Gayu)",IF(M46&gt;0,"Same AM as the primary line",IF(G46="US + Canada","AM, US + Canada (test hire)",IF(C46="Paid media","AM, Paid Media, India + RoW","AM, SEO and GEO, India + RoW"))))</f>
        <v>AM, US + Canada (test hire)</v>
      </c>
    </row>
    <row r="47" customFormat="false" ht="15" hidden="false" customHeight="false" outlineLevel="0" collapsed="false">
      <c r="A47" s="5" t="s">
        <v>228</v>
      </c>
      <c r="B47" s="5" t="s">
        <v>228</v>
      </c>
      <c r="C47" s="5" t="s">
        <v>206</v>
      </c>
      <c r="D47" s="5" t="s">
        <v>220</v>
      </c>
      <c r="E47" s="5" t="s">
        <v>221</v>
      </c>
      <c r="F47" s="5" t="s">
        <v>209</v>
      </c>
      <c r="G47" s="5" t="str">
        <f aca="false">IF(OR(F47="US",F47="US + Canada"),"US + Canada",IF(F47="Untagged","Untagged","India + RoW"))</f>
        <v>India + RoW</v>
      </c>
      <c r="H47" s="21" t="n">
        <v>3150</v>
      </c>
      <c r="I47" s="35" t="s">
        <v>158</v>
      </c>
      <c r="J47" s="35"/>
      <c r="K47" s="5" t="str">
        <f aca="false">IF(H47&gt;=Assumptions!$B$11,"Enterprise",IF(H47&gt;=Assumptions!$B$12,"Mid","Starter"))</f>
        <v>Starter</v>
      </c>
      <c r="L47" s="36" t="n">
        <f aca="false">IF(K47="Enterprise",Assumptions!$B$8,IF(K47="Mid",Assumptions!$B$9,Assumptions!$B$10))</f>
        <v>0.75</v>
      </c>
      <c r="M47" s="5" t="n">
        <f aca="false">COUNTIFS($A$6:$A$68,A47,$H$6:$H$68,"&gt;"&amp;H47)+COUNTIFS($A$5:A46,A47,$H$5:H46,H47)</f>
        <v>0</v>
      </c>
      <c r="N47" s="5" t="str">
        <f aca="false">IF(M47=0,"Primary line","Second line")</f>
        <v>Primary line</v>
      </c>
      <c r="O47" s="36" t="n">
        <f aca="false">L47*IF(M47=0,1,Assumptions!$B$13)+IF(I47="Signed, not started",Assumptions!$B$14,0)</f>
        <v>0.75</v>
      </c>
      <c r="P47" s="37" t="n">
        <f aca="false">SUMIFS($H$6:$H$68,$A$6:$A$68,A47)</f>
        <v>3150</v>
      </c>
      <c r="Q47" s="5" t="str">
        <f aca="false">IF(P47&gt;=Assumptions!$B$16,"Head of AM (Gayu)",IF(M47&gt;0,"Same AM as the primary line",IF(G47="US + Canada","AM, US + Canada (test hire)",IF(C47="Paid media","AM, Paid Media, India + RoW","AM, SEO and GEO, India + RoW"))))</f>
        <v>AM, SEO and GEO, India + RoW</v>
      </c>
    </row>
    <row r="48" customFormat="false" ht="15" hidden="false" customHeight="false" outlineLevel="0" collapsed="false">
      <c r="A48" s="5" t="s">
        <v>229</v>
      </c>
      <c r="B48" s="5" t="s">
        <v>229</v>
      </c>
      <c r="C48" s="5" t="s">
        <v>206</v>
      </c>
      <c r="D48" s="5" t="s">
        <v>220</v>
      </c>
      <c r="E48" s="5" t="s">
        <v>221</v>
      </c>
      <c r="F48" s="5" t="s">
        <v>222</v>
      </c>
      <c r="G48" s="5" t="str">
        <f aca="false">IF(OR(F48="US",F48="US + Canada"),"US + Canada",IF(F48="Untagged","Untagged","India + RoW"))</f>
        <v>Untagged</v>
      </c>
      <c r="H48" s="21" t="n">
        <v>8000</v>
      </c>
      <c r="I48" s="35" t="s">
        <v>158</v>
      </c>
      <c r="J48" s="35" t="s">
        <v>210</v>
      </c>
      <c r="K48" s="5" t="str">
        <f aca="false">IF(H48&gt;=Assumptions!$B$11,"Enterprise",IF(H48&gt;=Assumptions!$B$12,"Mid","Starter"))</f>
        <v>Enterprise</v>
      </c>
      <c r="L48" s="36" t="n">
        <f aca="false">IF(K48="Enterprise",Assumptions!$B$8,IF(K48="Mid",Assumptions!$B$9,Assumptions!$B$10))</f>
        <v>1.5</v>
      </c>
      <c r="M48" s="5" t="n">
        <f aca="false">COUNTIFS($A$6:$A$68,A48,$H$6:$H$68,"&gt;"&amp;H48)+COUNTIFS($A$5:A47,A48,$H$5:H47,H48)</f>
        <v>0</v>
      </c>
      <c r="N48" s="5" t="str">
        <f aca="false">IF(M48=0,"Primary line","Second line")</f>
        <v>Primary line</v>
      </c>
      <c r="O48" s="36" t="n">
        <f aca="false">L48*IF(M48=0,1,Assumptions!$B$13)+IF(I48="Signed, not started",Assumptions!$B$14,0)</f>
        <v>1.5</v>
      </c>
      <c r="P48" s="37" t="n">
        <f aca="false">SUMIFS($H$6:$H$68,$A$6:$A$68,A48)</f>
        <v>8000</v>
      </c>
      <c r="Q48" s="5" t="str">
        <f aca="false">IF(P48&gt;=Assumptions!$B$16,"Head of AM (Gayu)",IF(M48&gt;0,"Same AM as the primary line",IF(G48="US + Canada","AM, US + Canada (test hire)",IF(C48="Paid media","AM, Paid Media, India + RoW","AM, SEO and GEO, India + RoW"))))</f>
        <v>AM, SEO and GEO, India + RoW</v>
      </c>
    </row>
    <row r="49" customFormat="false" ht="15" hidden="false" customHeight="false" outlineLevel="0" collapsed="false">
      <c r="A49" s="5" t="s">
        <v>230</v>
      </c>
      <c r="B49" s="5" t="s">
        <v>231</v>
      </c>
      <c r="C49" s="5" t="s">
        <v>206</v>
      </c>
      <c r="D49" s="5" t="s">
        <v>232</v>
      </c>
      <c r="E49" s="5" t="s">
        <v>233</v>
      </c>
      <c r="F49" s="5" t="s">
        <v>222</v>
      </c>
      <c r="G49" s="5" t="str">
        <f aca="false">IF(OR(F49="US",F49="US + Canada"),"US + Canada",IF(F49="Untagged","Untagged","India + RoW"))</f>
        <v>Untagged</v>
      </c>
      <c r="H49" s="21" t="n">
        <v>5000</v>
      </c>
      <c r="I49" s="35" t="s">
        <v>158</v>
      </c>
      <c r="J49" s="35"/>
      <c r="K49" s="5" t="str">
        <f aca="false">IF(H49&gt;=Assumptions!$B$11,"Enterprise",IF(H49&gt;=Assumptions!$B$12,"Mid","Starter"))</f>
        <v>Mid</v>
      </c>
      <c r="L49" s="36" t="n">
        <f aca="false">IF(K49="Enterprise",Assumptions!$B$8,IF(K49="Mid",Assumptions!$B$9,Assumptions!$B$10))</f>
        <v>1</v>
      </c>
      <c r="M49" s="5" t="n">
        <f aca="false">COUNTIFS($A$6:$A$68,A49,$H$6:$H$68,"&gt;"&amp;H49)+COUNTIFS($A$5:A48,A49,$H$5:H48,H49)</f>
        <v>0</v>
      </c>
      <c r="N49" s="5" t="str">
        <f aca="false">IF(M49=0,"Primary line","Second line")</f>
        <v>Primary line</v>
      </c>
      <c r="O49" s="36" t="n">
        <f aca="false">L49*IF(M49=0,1,Assumptions!$B$13)+IF(I49="Signed, not started",Assumptions!$B$14,0)</f>
        <v>1</v>
      </c>
      <c r="P49" s="37" t="n">
        <f aca="false">SUMIFS($H$6:$H$68,$A$6:$A$68,A49)</f>
        <v>5000</v>
      </c>
      <c r="Q49" s="5" t="str">
        <f aca="false">IF(P49&gt;=Assumptions!$B$16,"Head of AM (Gayu)",IF(M49&gt;0,"Same AM as the primary line",IF(G49="US + Canada","AM, US + Canada (test hire)",IF(C49="Paid media","AM, Paid Media, India + RoW","AM, SEO and GEO, India + RoW"))))</f>
        <v>AM, SEO and GEO, India + RoW</v>
      </c>
    </row>
    <row r="50" customFormat="false" ht="15" hidden="false" customHeight="false" outlineLevel="0" collapsed="false">
      <c r="A50" s="5" t="s">
        <v>234</v>
      </c>
      <c r="B50" s="5" t="s">
        <v>234</v>
      </c>
      <c r="C50" s="5" t="s">
        <v>206</v>
      </c>
      <c r="D50" s="5" t="s">
        <v>232</v>
      </c>
      <c r="E50" s="5" t="s">
        <v>233</v>
      </c>
      <c r="F50" s="5" t="s">
        <v>222</v>
      </c>
      <c r="G50" s="5" t="str">
        <f aca="false">IF(OR(F50="US",F50="US + Canada"),"US + Canada",IF(F50="Untagged","Untagged","India + RoW"))</f>
        <v>Untagged</v>
      </c>
      <c r="H50" s="21" t="n">
        <v>5000</v>
      </c>
      <c r="I50" s="35" t="s">
        <v>158</v>
      </c>
      <c r="J50" s="35" t="s">
        <v>223</v>
      </c>
      <c r="K50" s="5" t="str">
        <f aca="false">IF(H50&gt;=Assumptions!$B$11,"Enterprise",IF(H50&gt;=Assumptions!$B$12,"Mid","Starter"))</f>
        <v>Mid</v>
      </c>
      <c r="L50" s="36" t="n">
        <f aca="false">IF(K50="Enterprise",Assumptions!$B$8,IF(K50="Mid",Assumptions!$B$9,Assumptions!$B$10))</f>
        <v>1</v>
      </c>
      <c r="M50" s="5" t="n">
        <f aca="false">COUNTIFS($A$6:$A$68,A50,$H$6:$H$68,"&gt;"&amp;H50)+COUNTIFS($A$5:A49,A50,$H$5:H49,H50)</f>
        <v>0</v>
      </c>
      <c r="N50" s="5" t="str">
        <f aca="false">IF(M50=0,"Primary line","Second line")</f>
        <v>Primary line</v>
      </c>
      <c r="O50" s="36" t="n">
        <f aca="false">L50*IF(M50=0,1,Assumptions!$B$13)+IF(I50="Signed, not started",Assumptions!$B$14,0)</f>
        <v>1</v>
      </c>
      <c r="P50" s="37" t="n">
        <f aca="false">SUMIFS($H$6:$H$68,$A$6:$A$68,A50)</f>
        <v>5000</v>
      </c>
      <c r="Q50" s="5" t="str">
        <f aca="false">IF(P50&gt;=Assumptions!$B$16,"Head of AM (Gayu)",IF(M50&gt;0,"Same AM as the primary line",IF(G50="US + Canada","AM, US + Canada (test hire)",IF(C50="Paid media","AM, Paid Media, India + RoW","AM, SEO and GEO, India + RoW"))))</f>
        <v>AM, SEO and GEO, India + RoW</v>
      </c>
    </row>
    <row r="51" customFormat="false" ht="15" hidden="false" customHeight="false" outlineLevel="0" collapsed="false">
      <c r="A51" s="5" t="s">
        <v>235</v>
      </c>
      <c r="B51" s="5" t="s">
        <v>235</v>
      </c>
      <c r="C51" s="5" t="s">
        <v>206</v>
      </c>
      <c r="D51" s="5" t="s">
        <v>232</v>
      </c>
      <c r="E51" s="5" t="s">
        <v>233</v>
      </c>
      <c r="F51" s="5" t="s">
        <v>222</v>
      </c>
      <c r="G51" s="5" t="str">
        <f aca="false">IF(OR(F51="US",F51="US + Canada"),"US + Canada",IF(F51="Untagged","Untagged","India + RoW"))</f>
        <v>Untagged</v>
      </c>
      <c r="H51" s="21" t="n">
        <v>4000</v>
      </c>
      <c r="I51" s="35" t="s">
        <v>158</v>
      </c>
      <c r="J51" s="35"/>
      <c r="K51" s="5" t="str">
        <f aca="false">IF(H51&gt;=Assumptions!$B$11,"Enterprise",IF(H51&gt;=Assumptions!$B$12,"Mid","Starter"))</f>
        <v>Mid</v>
      </c>
      <c r="L51" s="36" t="n">
        <f aca="false">IF(K51="Enterprise",Assumptions!$B$8,IF(K51="Mid",Assumptions!$B$9,Assumptions!$B$10))</f>
        <v>1</v>
      </c>
      <c r="M51" s="5" t="n">
        <f aca="false">COUNTIFS($A$6:$A$68,A51,$H$6:$H$68,"&gt;"&amp;H51)+COUNTIFS($A$5:A50,A51,$H$5:H50,H51)</f>
        <v>0</v>
      </c>
      <c r="N51" s="5" t="str">
        <f aca="false">IF(M51=0,"Primary line","Second line")</f>
        <v>Primary line</v>
      </c>
      <c r="O51" s="36" t="n">
        <f aca="false">L51*IF(M51=0,1,Assumptions!$B$13)+IF(I51="Signed, not started",Assumptions!$B$14,0)</f>
        <v>1</v>
      </c>
      <c r="P51" s="37" t="n">
        <f aca="false">SUMIFS($H$6:$H$68,$A$6:$A$68,A51)</f>
        <v>4000</v>
      </c>
      <c r="Q51" s="5" t="str">
        <f aca="false">IF(P51&gt;=Assumptions!$B$16,"Head of AM (Gayu)",IF(M51&gt;0,"Same AM as the primary line",IF(G51="US + Canada","AM, US + Canada (test hire)",IF(C51="Paid media","AM, Paid Media, India + RoW","AM, SEO and GEO, India + RoW"))))</f>
        <v>AM, SEO and GEO, India + RoW</v>
      </c>
    </row>
    <row r="52" customFormat="false" ht="15" hidden="false" customHeight="false" outlineLevel="0" collapsed="false">
      <c r="A52" s="5" t="s">
        <v>236</v>
      </c>
      <c r="B52" s="5" t="s">
        <v>236</v>
      </c>
      <c r="C52" s="5" t="s">
        <v>206</v>
      </c>
      <c r="D52" s="5" t="s">
        <v>232</v>
      </c>
      <c r="E52" s="5" t="s">
        <v>233</v>
      </c>
      <c r="F52" s="5" t="s">
        <v>209</v>
      </c>
      <c r="G52" s="5" t="str">
        <f aca="false">IF(OR(F52="US",F52="US + Canada"),"US + Canada",IF(F52="Untagged","Untagged","India + RoW"))</f>
        <v>India + RoW</v>
      </c>
      <c r="H52" s="21" t="n">
        <v>4000</v>
      </c>
      <c r="I52" s="35" t="s">
        <v>158</v>
      </c>
      <c r="J52" s="35"/>
      <c r="K52" s="5" t="str">
        <f aca="false">IF(H52&gt;=Assumptions!$B$11,"Enterprise",IF(H52&gt;=Assumptions!$B$12,"Mid","Starter"))</f>
        <v>Mid</v>
      </c>
      <c r="L52" s="36" t="n">
        <f aca="false">IF(K52="Enterprise",Assumptions!$B$8,IF(K52="Mid",Assumptions!$B$9,Assumptions!$B$10))</f>
        <v>1</v>
      </c>
      <c r="M52" s="5" t="n">
        <f aca="false">COUNTIFS($A$6:$A$68,A52,$H$6:$H$68,"&gt;"&amp;H52)+COUNTIFS($A$5:A51,A52,$H$5:H51,H52)</f>
        <v>0</v>
      </c>
      <c r="N52" s="5" t="str">
        <f aca="false">IF(M52=0,"Primary line","Second line")</f>
        <v>Primary line</v>
      </c>
      <c r="O52" s="36" t="n">
        <f aca="false">L52*IF(M52=0,1,Assumptions!$B$13)+IF(I52="Signed, not started",Assumptions!$B$14,0)</f>
        <v>1</v>
      </c>
      <c r="P52" s="37" t="n">
        <f aca="false">SUMIFS($H$6:$H$68,$A$6:$A$68,A52)</f>
        <v>4000</v>
      </c>
      <c r="Q52" s="5" t="str">
        <f aca="false">IF(P52&gt;=Assumptions!$B$16,"Head of AM (Gayu)",IF(M52&gt;0,"Same AM as the primary line",IF(G52="US + Canada","AM, US + Canada (test hire)",IF(C52="Paid media","AM, Paid Media, India + RoW","AM, SEO and GEO, India + RoW"))))</f>
        <v>AM, SEO and GEO, India + RoW</v>
      </c>
    </row>
    <row r="53" customFormat="false" ht="15" hidden="false" customHeight="false" outlineLevel="0" collapsed="false">
      <c r="A53" s="5" t="s">
        <v>199</v>
      </c>
      <c r="B53" s="5" t="s">
        <v>199</v>
      </c>
      <c r="C53" s="5" t="s">
        <v>206</v>
      </c>
      <c r="D53" s="5" t="s">
        <v>232</v>
      </c>
      <c r="E53" s="5" t="s">
        <v>233</v>
      </c>
      <c r="F53" s="5" t="s">
        <v>209</v>
      </c>
      <c r="G53" s="5" t="str">
        <f aca="false">IF(OR(F53="US",F53="US + Canada"),"US + Canada",IF(F53="Untagged","Untagged","India + RoW"))</f>
        <v>India + RoW</v>
      </c>
      <c r="H53" s="21" t="n">
        <v>3000</v>
      </c>
      <c r="I53" s="35" t="s">
        <v>158</v>
      </c>
      <c r="J53" s="35"/>
      <c r="K53" s="5" t="str">
        <f aca="false">IF(H53&gt;=Assumptions!$B$11,"Enterprise",IF(H53&gt;=Assumptions!$B$12,"Mid","Starter"))</f>
        <v>Starter</v>
      </c>
      <c r="L53" s="36" t="n">
        <f aca="false">IF(K53="Enterprise",Assumptions!$B$8,IF(K53="Mid",Assumptions!$B$9,Assumptions!$B$10))</f>
        <v>0.75</v>
      </c>
      <c r="M53" s="5" t="n">
        <f aca="false">COUNTIFS($A$6:$A$68,A53,$H$6:$H$68,"&gt;"&amp;H53)+COUNTIFS($A$5:A52,A53,$H$5:H52,H53)</f>
        <v>0</v>
      </c>
      <c r="N53" s="5" t="str">
        <f aca="false">IF(M53=0,"Primary line","Second line")</f>
        <v>Primary line</v>
      </c>
      <c r="O53" s="36" t="n">
        <f aca="false">L53*IF(M53=0,1,Assumptions!$B$13)+IF(I53="Signed, not started",Assumptions!$B$14,0)</f>
        <v>0.75</v>
      </c>
      <c r="P53" s="37" t="n">
        <f aca="false">SUMIFS($H$6:$H$68,$A$6:$A$68,A53)</f>
        <v>5500</v>
      </c>
      <c r="Q53" s="5" t="str">
        <f aca="false">IF(P53&gt;=Assumptions!$B$16,"Head of AM (Gayu)",IF(M53&gt;0,"Same AM as the primary line",IF(G53="US + Canada","AM, US + Canada (test hire)",IF(C53="Paid media","AM, Paid Media, India + RoW","AM, SEO and GEO, India + RoW"))))</f>
        <v>AM, SEO and GEO, India + RoW</v>
      </c>
    </row>
    <row r="54" customFormat="false" ht="15" hidden="false" customHeight="false" outlineLevel="0" collapsed="false">
      <c r="A54" s="5" t="s">
        <v>237</v>
      </c>
      <c r="B54" s="5" t="s">
        <v>237</v>
      </c>
      <c r="C54" s="5" t="s">
        <v>206</v>
      </c>
      <c r="D54" s="5" t="s">
        <v>232</v>
      </c>
      <c r="E54" s="5" t="s">
        <v>233</v>
      </c>
      <c r="F54" s="5" t="s">
        <v>209</v>
      </c>
      <c r="G54" s="5" t="str">
        <f aca="false">IF(OR(F54="US",F54="US + Canada"),"US + Canada",IF(F54="Untagged","Untagged","India + RoW"))</f>
        <v>India + RoW</v>
      </c>
      <c r="H54" s="21" t="n">
        <v>3000</v>
      </c>
      <c r="I54" s="35" t="s">
        <v>158</v>
      </c>
      <c r="J54" s="35"/>
      <c r="K54" s="5" t="str">
        <f aca="false">IF(H54&gt;=Assumptions!$B$11,"Enterprise",IF(H54&gt;=Assumptions!$B$12,"Mid","Starter"))</f>
        <v>Starter</v>
      </c>
      <c r="L54" s="36" t="n">
        <f aca="false">IF(K54="Enterprise",Assumptions!$B$8,IF(K54="Mid",Assumptions!$B$9,Assumptions!$B$10))</f>
        <v>0.75</v>
      </c>
      <c r="M54" s="5" t="n">
        <f aca="false">COUNTIFS($A$6:$A$68,A54,$H$6:$H$68,"&gt;"&amp;H54)+COUNTIFS($A$5:A53,A54,$H$5:H53,H54)</f>
        <v>0</v>
      </c>
      <c r="N54" s="5" t="str">
        <f aca="false">IF(M54=0,"Primary line","Second line")</f>
        <v>Primary line</v>
      </c>
      <c r="O54" s="36" t="n">
        <f aca="false">L54*IF(M54=0,1,Assumptions!$B$13)+IF(I54="Signed, not started",Assumptions!$B$14,0)</f>
        <v>0.75</v>
      </c>
      <c r="P54" s="37" t="n">
        <f aca="false">SUMIFS($H$6:$H$68,$A$6:$A$68,A54)</f>
        <v>3000</v>
      </c>
      <c r="Q54" s="5" t="str">
        <f aca="false">IF(P54&gt;=Assumptions!$B$16,"Head of AM (Gayu)",IF(M54&gt;0,"Same AM as the primary line",IF(G54="US + Canada","AM, US + Canada (test hire)",IF(C54="Paid media","AM, Paid Media, India + RoW","AM, SEO and GEO, India + RoW"))))</f>
        <v>AM, SEO and GEO, India + RoW</v>
      </c>
    </row>
    <row r="55" customFormat="false" ht="15" hidden="false" customHeight="false" outlineLevel="0" collapsed="false">
      <c r="A55" s="5" t="s">
        <v>238</v>
      </c>
      <c r="B55" s="5" t="s">
        <v>238</v>
      </c>
      <c r="C55" s="5" t="s">
        <v>206</v>
      </c>
      <c r="D55" s="5" t="s">
        <v>232</v>
      </c>
      <c r="E55" s="5" t="s">
        <v>233</v>
      </c>
      <c r="F55" s="5" t="s">
        <v>222</v>
      </c>
      <c r="G55" s="5" t="str">
        <f aca="false">IF(OR(F55="US",F55="US + Canada"),"US + Canada",IF(F55="Untagged","Untagged","India + RoW"))</f>
        <v>Untagged</v>
      </c>
      <c r="H55" s="21" t="n">
        <v>4000</v>
      </c>
      <c r="I55" s="35" t="s">
        <v>158</v>
      </c>
      <c r="J55" s="35"/>
      <c r="K55" s="5" t="str">
        <f aca="false">IF(H55&gt;=Assumptions!$B$11,"Enterprise",IF(H55&gt;=Assumptions!$B$12,"Mid","Starter"))</f>
        <v>Mid</v>
      </c>
      <c r="L55" s="36" t="n">
        <f aca="false">IF(K55="Enterprise",Assumptions!$B$8,IF(K55="Mid",Assumptions!$B$9,Assumptions!$B$10))</f>
        <v>1</v>
      </c>
      <c r="M55" s="5" t="n">
        <f aca="false">COUNTIFS($A$6:$A$68,A55,$H$6:$H$68,"&gt;"&amp;H55)+COUNTIFS($A$5:A54,A55,$H$5:H54,H55)</f>
        <v>0</v>
      </c>
      <c r="N55" s="5" t="str">
        <f aca="false">IF(M55=0,"Primary line","Second line")</f>
        <v>Primary line</v>
      </c>
      <c r="O55" s="36" t="n">
        <f aca="false">L55*IF(M55=0,1,Assumptions!$B$13)+IF(I55="Signed, not started",Assumptions!$B$14,0)</f>
        <v>1</v>
      </c>
      <c r="P55" s="37" t="n">
        <f aca="false">SUMIFS($H$6:$H$68,$A$6:$A$68,A55)</f>
        <v>4000</v>
      </c>
      <c r="Q55" s="5" t="str">
        <f aca="false">IF(P55&gt;=Assumptions!$B$16,"Head of AM (Gayu)",IF(M55&gt;0,"Same AM as the primary line",IF(G55="US + Canada","AM, US + Canada (test hire)",IF(C55="Paid media","AM, Paid Media, India + RoW","AM, SEO and GEO, India + RoW"))))</f>
        <v>AM, SEO and GEO, India + RoW</v>
      </c>
    </row>
    <row r="56" customFormat="false" ht="15" hidden="false" customHeight="false" outlineLevel="0" collapsed="false">
      <c r="A56" s="5" t="s">
        <v>239</v>
      </c>
      <c r="B56" s="5" t="s">
        <v>239</v>
      </c>
      <c r="C56" s="5" t="s">
        <v>206</v>
      </c>
      <c r="D56" s="5" t="s">
        <v>232</v>
      </c>
      <c r="E56" s="5" t="s">
        <v>233</v>
      </c>
      <c r="F56" s="5" t="s">
        <v>222</v>
      </c>
      <c r="G56" s="5" t="str">
        <f aca="false">IF(OR(F56="US",F56="US + Canada"),"US + Canada",IF(F56="Untagged","Untagged","India + RoW"))</f>
        <v>Untagged</v>
      </c>
      <c r="H56" s="21" t="n">
        <v>3500</v>
      </c>
      <c r="I56" s="35" t="s">
        <v>158</v>
      </c>
      <c r="J56" s="35"/>
      <c r="K56" s="5" t="str">
        <f aca="false">IF(H56&gt;=Assumptions!$B$11,"Enterprise",IF(H56&gt;=Assumptions!$B$12,"Mid","Starter"))</f>
        <v>Starter</v>
      </c>
      <c r="L56" s="36" t="n">
        <f aca="false">IF(K56="Enterprise",Assumptions!$B$8,IF(K56="Mid",Assumptions!$B$9,Assumptions!$B$10))</f>
        <v>0.75</v>
      </c>
      <c r="M56" s="5" t="n">
        <f aca="false">COUNTIFS($A$6:$A$68,A56,$H$6:$H$68,"&gt;"&amp;H56)+COUNTIFS($A$5:A55,A56,$H$5:H55,H56)</f>
        <v>0</v>
      </c>
      <c r="N56" s="5" t="str">
        <f aca="false">IF(M56=0,"Primary line","Second line")</f>
        <v>Primary line</v>
      </c>
      <c r="O56" s="36" t="n">
        <f aca="false">L56*IF(M56=0,1,Assumptions!$B$13)+IF(I56="Signed, not started",Assumptions!$B$14,0)</f>
        <v>0.75</v>
      </c>
      <c r="P56" s="37" t="n">
        <f aca="false">SUMIFS($H$6:$H$68,$A$6:$A$68,A56)</f>
        <v>3500</v>
      </c>
      <c r="Q56" s="5" t="str">
        <f aca="false">IF(P56&gt;=Assumptions!$B$16,"Head of AM (Gayu)",IF(M56&gt;0,"Same AM as the primary line",IF(G56="US + Canada","AM, US + Canada (test hire)",IF(C56="Paid media","AM, Paid Media, India + RoW","AM, SEO and GEO, India + RoW"))))</f>
        <v>AM, SEO and GEO, India + RoW</v>
      </c>
    </row>
    <row r="57" customFormat="false" ht="15" hidden="false" customHeight="false" outlineLevel="0" collapsed="false">
      <c r="A57" s="5" t="s">
        <v>240</v>
      </c>
      <c r="B57" s="5" t="s">
        <v>240</v>
      </c>
      <c r="C57" s="5" t="s">
        <v>206</v>
      </c>
      <c r="D57" s="5" t="s">
        <v>232</v>
      </c>
      <c r="E57" s="5" t="s">
        <v>233</v>
      </c>
      <c r="F57" s="5" t="s">
        <v>222</v>
      </c>
      <c r="G57" s="5" t="str">
        <f aca="false">IF(OR(F57="US",F57="US + Canada"),"US + Canada",IF(F57="Untagged","Untagged","India + RoW"))</f>
        <v>Untagged</v>
      </c>
      <c r="H57" s="21" t="n">
        <v>2500</v>
      </c>
      <c r="I57" s="35" t="s">
        <v>158</v>
      </c>
      <c r="J57" s="35"/>
      <c r="K57" s="5" t="str">
        <f aca="false">IF(H57&gt;=Assumptions!$B$11,"Enterprise",IF(H57&gt;=Assumptions!$B$12,"Mid","Starter"))</f>
        <v>Starter</v>
      </c>
      <c r="L57" s="36" t="n">
        <f aca="false">IF(K57="Enterprise",Assumptions!$B$8,IF(K57="Mid",Assumptions!$B$9,Assumptions!$B$10))</f>
        <v>0.75</v>
      </c>
      <c r="M57" s="5" t="n">
        <f aca="false">COUNTIFS($A$6:$A$68,A57,$H$6:$H$68,"&gt;"&amp;H57)+COUNTIFS($A$5:A56,A57,$H$5:H56,H57)</f>
        <v>0</v>
      </c>
      <c r="N57" s="5" t="str">
        <f aca="false">IF(M57=0,"Primary line","Second line")</f>
        <v>Primary line</v>
      </c>
      <c r="O57" s="36" t="n">
        <f aca="false">L57*IF(M57=0,1,Assumptions!$B$13)+IF(I57="Signed, not started",Assumptions!$B$14,0)</f>
        <v>0.75</v>
      </c>
      <c r="P57" s="37" t="n">
        <f aca="false">SUMIFS($H$6:$H$68,$A$6:$A$68,A57)</f>
        <v>2500</v>
      </c>
      <c r="Q57" s="5" t="str">
        <f aca="false">IF(P57&gt;=Assumptions!$B$16,"Head of AM (Gayu)",IF(M57&gt;0,"Same AM as the primary line",IF(G57="US + Canada","AM, US + Canada (test hire)",IF(C57="Paid media","AM, Paid Media, India + RoW","AM, SEO and GEO, India + RoW"))))</f>
        <v>AM, SEO and GEO, India + RoW</v>
      </c>
    </row>
    <row r="58" customFormat="false" ht="15" hidden="false" customHeight="false" outlineLevel="0" collapsed="false">
      <c r="A58" s="5" t="s">
        <v>182</v>
      </c>
      <c r="B58" s="5" t="s">
        <v>241</v>
      </c>
      <c r="C58" s="5" t="s">
        <v>206</v>
      </c>
      <c r="D58" s="5" t="s">
        <v>242</v>
      </c>
      <c r="E58" s="5" t="s">
        <v>243</v>
      </c>
      <c r="F58" s="5" t="s">
        <v>161</v>
      </c>
      <c r="G58" s="5" t="str">
        <f aca="false">IF(OR(F58="US",F58="US + Canada"),"US + Canada",IF(F58="Untagged","Untagged","India + RoW"))</f>
        <v>US + Canada</v>
      </c>
      <c r="H58" s="21" t="n">
        <v>8000</v>
      </c>
      <c r="I58" s="35" t="s">
        <v>158</v>
      </c>
      <c r="J58" s="35"/>
      <c r="K58" s="5" t="str">
        <f aca="false">IF(H58&gt;=Assumptions!$B$11,"Enterprise",IF(H58&gt;=Assumptions!$B$12,"Mid","Starter"))</f>
        <v>Enterprise</v>
      </c>
      <c r="L58" s="36" t="n">
        <f aca="false">IF(K58="Enterprise",Assumptions!$B$8,IF(K58="Mid",Assumptions!$B$9,Assumptions!$B$10))</f>
        <v>1.5</v>
      </c>
      <c r="M58" s="5" t="n">
        <f aca="false">COUNTIFS($A$6:$A$68,A58,$H$6:$H$68,"&gt;"&amp;H58)+COUNTIFS($A$5:A57,A58,$H$5:H57,H58)</f>
        <v>0</v>
      </c>
      <c r="N58" s="5" t="str">
        <f aca="false">IF(M58=0,"Primary line","Second line")</f>
        <v>Primary line</v>
      </c>
      <c r="O58" s="36" t="n">
        <f aca="false">L58*IF(M58=0,1,Assumptions!$B$13)+IF(I58="Signed, not started",Assumptions!$B$14,0)</f>
        <v>1.5</v>
      </c>
      <c r="P58" s="37" t="n">
        <f aca="false">SUMIFS($H$6:$H$68,$A$6:$A$68,A58)</f>
        <v>14000</v>
      </c>
      <c r="Q58" s="5" t="str">
        <f aca="false">IF(P58&gt;=Assumptions!$B$16,"Head of AM (Gayu)",IF(M58&gt;0,"Same AM as the primary line",IF(G58="US + Canada","AM, US + Canada (test hire)",IF(C58="Paid media","AM, Paid Media, India + RoW","AM, SEO and GEO, India + RoW"))))</f>
        <v>Head of AM (Gayu)</v>
      </c>
    </row>
    <row r="59" customFormat="false" ht="15" hidden="false" customHeight="false" outlineLevel="0" collapsed="false">
      <c r="A59" s="5" t="s">
        <v>244</v>
      </c>
      <c r="B59" s="5" t="s">
        <v>244</v>
      </c>
      <c r="C59" s="5" t="s">
        <v>206</v>
      </c>
      <c r="D59" s="5" t="s">
        <v>242</v>
      </c>
      <c r="E59" s="5" t="s">
        <v>243</v>
      </c>
      <c r="F59" s="5" t="s">
        <v>222</v>
      </c>
      <c r="G59" s="5" t="str">
        <f aca="false">IF(OR(F59="US",F59="US + Canada"),"US + Canada",IF(F59="Untagged","Untagged","India + RoW"))</f>
        <v>Untagged</v>
      </c>
      <c r="H59" s="21" t="n">
        <v>5000</v>
      </c>
      <c r="I59" s="35" t="s">
        <v>158</v>
      </c>
      <c r="J59" s="35" t="s">
        <v>210</v>
      </c>
      <c r="K59" s="5" t="str">
        <f aca="false">IF(H59&gt;=Assumptions!$B$11,"Enterprise",IF(H59&gt;=Assumptions!$B$12,"Mid","Starter"))</f>
        <v>Mid</v>
      </c>
      <c r="L59" s="36" t="n">
        <f aca="false">IF(K59="Enterprise",Assumptions!$B$8,IF(K59="Mid",Assumptions!$B$9,Assumptions!$B$10))</f>
        <v>1</v>
      </c>
      <c r="M59" s="5" t="n">
        <f aca="false">COUNTIFS($A$6:$A$68,A59,$H$6:$H$68,"&gt;"&amp;H59)+COUNTIFS($A$5:A58,A59,$H$5:H58,H59)</f>
        <v>0</v>
      </c>
      <c r="N59" s="5" t="str">
        <f aca="false">IF(M59=0,"Primary line","Second line")</f>
        <v>Primary line</v>
      </c>
      <c r="O59" s="36" t="n">
        <f aca="false">L59*IF(M59=0,1,Assumptions!$B$13)+IF(I59="Signed, not started",Assumptions!$B$14,0)</f>
        <v>1</v>
      </c>
      <c r="P59" s="37" t="n">
        <f aca="false">SUMIFS($H$6:$H$68,$A$6:$A$68,A59)</f>
        <v>5000</v>
      </c>
      <c r="Q59" s="5" t="str">
        <f aca="false">IF(P59&gt;=Assumptions!$B$16,"Head of AM (Gayu)",IF(M59&gt;0,"Same AM as the primary line",IF(G59="US + Canada","AM, US + Canada (test hire)",IF(C59="Paid media","AM, Paid Media, India + RoW","AM, SEO and GEO, India + RoW"))))</f>
        <v>AM, SEO and GEO, India + RoW</v>
      </c>
    </row>
    <row r="60" customFormat="false" ht="15" hidden="false" customHeight="false" outlineLevel="0" collapsed="false">
      <c r="A60" s="5" t="s">
        <v>185</v>
      </c>
      <c r="B60" s="5" t="s">
        <v>245</v>
      </c>
      <c r="C60" s="5" t="s">
        <v>206</v>
      </c>
      <c r="D60" s="5" t="s">
        <v>242</v>
      </c>
      <c r="E60" s="5" t="s">
        <v>243</v>
      </c>
      <c r="F60" s="5" t="s">
        <v>161</v>
      </c>
      <c r="G60" s="5" t="str">
        <f aca="false">IF(OR(F60="US",F60="US + Canada"),"US + Canada",IF(F60="Untagged","Untagged","India + RoW"))</f>
        <v>US + Canada</v>
      </c>
      <c r="H60" s="21" t="n">
        <v>4000</v>
      </c>
      <c r="I60" s="35" t="s">
        <v>158</v>
      </c>
      <c r="J60" s="35"/>
      <c r="K60" s="5" t="str">
        <f aca="false">IF(H60&gt;=Assumptions!$B$11,"Enterprise",IF(H60&gt;=Assumptions!$B$12,"Mid","Starter"))</f>
        <v>Mid</v>
      </c>
      <c r="L60" s="36" t="n">
        <f aca="false">IF(K60="Enterprise",Assumptions!$B$8,IF(K60="Mid",Assumptions!$B$9,Assumptions!$B$10))</f>
        <v>1</v>
      </c>
      <c r="M60" s="5" t="n">
        <f aca="false">COUNTIFS($A$6:$A$68,A60,$H$6:$H$68,"&gt;"&amp;H60)+COUNTIFS($A$5:A59,A60,$H$5:H59,H60)</f>
        <v>0</v>
      </c>
      <c r="N60" s="5" t="str">
        <f aca="false">IF(M60=0,"Primary line","Second line")</f>
        <v>Primary line</v>
      </c>
      <c r="O60" s="36" t="n">
        <f aca="false">L60*IF(M60=0,1,Assumptions!$B$13)+IF(I60="Signed, not started",Assumptions!$B$14,0)</f>
        <v>1</v>
      </c>
      <c r="P60" s="37" t="n">
        <f aca="false">SUMIFS($H$6:$H$68,$A$6:$A$68,A60)</f>
        <v>7000</v>
      </c>
      <c r="Q60" s="5" t="str">
        <f aca="false">IF(P60&gt;=Assumptions!$B$16,"Head of AM (Gayu)",IF(M60&gt;0,"Same AM as the primary line",IF(G60="US + Canada","AM, US + Canada (test hire)",IF(C60="Paid media","AM, Paid Media, India + RoW","AM, SEO and GEO, India + RoW"))))</f>
        <v>AM, US + Canada (test hire)</v>
      </c>
    </row>
    <row r="61" customFormat="false" ht="15" hidden="false" customHeight="false" outlineLevel="0" collapsed="false">
      <c r="A61" s="5" t="s">
        <v>246</v>
      </c>
      <c r="B61" s="5" t="s">
        <v>246</v>
      </c>
      <c r="C61" s="5" t="s">
        <v>206</v>
      </c>
      <c r="D61" s="5" t="s">
        <v>242</v>
      </c>
      <c r="E61" s="5" t="s">
        <v>243</v>
      </c>
      <c r="F61" s="5" t="s">
        <v>209</v>
      </c>
      <c r="G61" s="5" t="str">
        <f aca="false">IF(OR(F61="US",F61="US + Canada"),"US + Canada",IF(F61="Untagged","Untagged","India + RoW"))</f>
        <v>India + RoW</v>
      </c>
      <c r="H61" s="21" t="n">
        <v>4000</v>
      </c>
      <c r="I61" s="35" t="s">
        <v>158</v>
      </c>
      <c r="J61" s="35"/>
      <c r="K61" s="5" t="str">
        <f aca="false">IF(H61&gt;=Assumptions!$B$11,"Enterprise",IF(H61&gt;=Assumptions!$B$12,"Mid","Starter"))</f>
        <v>Mid</v>
      </c>
      <c r="L61" s="36" t="n">
        <f aca="false">IF(K61="Enterprise",Assumptions!$B$8,IF(K61="Mid",Assumptions!$B$9,Assumptions!$B$10))</f>
        <v>1</v>
      </c>
      <c r="M61" s="5" t="n">
        <f aca="false">COUNTIFS($A$6:$A$68,A61,$H$6:$H$68,"&gt;"&amp;H61)+COUNTIFS($A$5:A60,A61,$H$5:H60,H61)</f>
        <v>0</v>
      </c>
      <c r="N61" s="5" t="str">
        <f aca="false">IF(M61=0,"Primary line","Second line")</f>
        <v>Primary line</v>
      </c>
      <c r="O61" s="36" t="n">
        <f aca="false">L61*IF(M61=0,1,Assumptions!$B$13)+IF(I61="Signed, not started",Assumptions!$B$14,0)</f>
        <v>1</v>
      </c>
      <c r="P61" s="37" t="n">
        <f aca="false">SUMIFS($H$6:$H$68,$A$6:$A$68,A61)</f>
        <v>4000</v>
      </c>
      <c r="Q61" s="5" t="str">
        <f aca="false">IF(P61&gt;=Assumptions!$B$16,"Head of AM (Gayu)",IF(M61&gt;0,"Same AM as the primary line",IF(G61="US + Canada","AM, US + Canada (test hire)",IF(C61="Paid media","AM, Paid Media, India + RoW","AM, SEO and GEO, India + RoW"))))</f>
        <v>AM, SEO and GEO, India + RoW</v>
      </c>
    </row>
    <row r="62" customFormat="false" ht="15" hidden="false" customHeight="false" outlineLevel="0" collapsed="false">
      <c r="A62" s="5" t="s">
        <v>247</v>
      </c>
      <c r="B62" s="5" t="s">
        <v>247</v>
      </c>
      <c r="C62" s="5" t="s">
        <v>206</v>
      </c>
      <c r="D62" s="5" t="s">
        <v>242</v>
      </c>
      <c r="E62" s="5" t="s">
        <v>243</v>
      </c>
      <c r="F62" s="5" t="s">
        <v>222</v>
      </c>
      <c r="G62" s="5" t="str">
        <f aca="false">IF(OR(F62="US",F62="US + Canada"),"US + Canada",IF(F62="Untagged","Untagged","India + RoW"))</f>
        <v>Untagged</v>
      </c>
      <c r="H62" s="21" t="n">
        <v>4000</v>
      </c>
      <c r="I62" s="35" t="s">
        <v>158</v>
      </c>
      <c r="J62" s="35"/>
      <c r="K62" s="5" t="str">
        <f aca="false">IF(H62&gt;=Assumptions!$B$11,"Enterprise",IF(H62&gt;=Assumptions!$B$12,"Mid","Starter"))</f>
        <v>Mid</v>
      </c>
      <c r="L62" s="36" t="n">
        <f aca="false">IF(K62="Enterprise",Assumptions!$B$8,IF(K62="Mid",Assumptions!$B$9,Assumptions!$B$10))</f>
        <v>1</v>
      </c>
      <c r="M62" s="5" t="n">
        <f aca="false">COUNTIFS($A$6:$A$68,A62,$H$6:$H$68,"&gt;"&amp;H62)+COUNTIFS($A$5:A61,A62,$H$5:H61,H62)</f>
        <v>0</v>
      </c>
      <c r="N62" s="5" t="str">
        <f aca="false">IF(M62=0,"Primary line","Second line")</f>
        <v>Primary line</v>
      </c>
      <c r="O62" s="36" t="n">
        <f aca="false">L62*IF(M62=0,1,Assumptions!$B$13)+IF(I62="Signed, not started",Assumptions!$B$14,0)</f>
        <v>1</v>
      </c>
      <c r="P62" s="37" t="n">
        <f aca="false">SUMIFS($H$6:$H$68,$A$6:$A$68,A62)</f>
        <v>4000</v>
      </c>
      <c r="Q62" s="5" t="str">
        <f aca="false">IF(P62&gt;=Assumptions!$B$16,"Head of AM (Gayu)",IF(M62&gt;0,"Same AM as the primary line",IF(G62="US + Canada","AM, US + Canada (test hire)",IF(C62="Paid media","AM, Paid Media, India + RoW","AM, SEO and GEO, India + RoW"))))</f>
        <v>AM, SEO and GEO, India + RoW</v>
      </c>
    </row>
    <row r="63" customFormat="false" ht="15" hidden="false" customHeight="false" outlineLevel="0" collapsed="false">
      <c r="A63" s="5" t="s">
        <v>173</v>
      </c>
      <c r="B63" s="5" t="s">
        <v>173</v>
      </c>
      <c r="C63" s="5" t="s">
        <v>206</v>
      </c>
      <c r="D63" s="5" t="s">
        <v>242</v>
      </c>
      <c r="E63" s="5" t="s">
        <v>243</v>
      </c>
      <c r="F63" s="5" t="s">
        <v>209</v>
      </c>
      <c r="G63" s="5" t="str">
        <f aca="false">IF(OR(F63="US",F63="US + Canada"),"US + Canada",IF(F63="Untagged","Untagged","India + RoW"))</f>
        <v>India + RoW</v>
      </c>
      <c r="H63" s="21" t="n">
        <v>3000</v>
      </c>
      <c r="I63" s="35" t="s">
        <v>158</v>
      </c>
      <c r="J63" s="35"/>
      <c r="K63" s="5" t="str">
        <f aca="false">IF(H63&gt;=Assumptions!$B$11,"Enterprise",IF(H63&gt;=Assumptions!$B$12,"Mid","Starter"))</f>
        <v>Starter</v>
      </c>
      <c r="L63" s="36" t="n">
        <f aca="false">IF(K63="Enterprise",Assumptions!$B$8,IF(K63="Mid",Assumptions!$B$9,Assumptions!$B$10))</f>
        <v>0.75</v>
      </c>
      <c r="M63" s="5" t="n">
        <f aca="false">COUNTIFS($A$6:$A$68,A63,$H$6:$H$68,"&gt;"&amp;H63)+COUNTIFS($A$5:A62,A63,$H$5:H62,H63)</f>
        <v>1</v>
      </c>
      <c r="N63" s="5" t="str">
        <f aca="false">IF(M63=0,"Primary line","Second line")</f>
        <v>Second line</v>
      </c>
      <c r="O63" s="36" t="n">
        <f aca="false">L63*IF(M63=0,1,Assumptions!$B$13)+IF(I63="Signed, not started",Assumptions!$B$14,0)</f>
        <v>0.375</v>
      </c>
      <c r="P63" s="37" t="n">
        <f aca="false">SUMIFS($H$6:$H$68,$A$6:$A$68,A63)</f>
        <v>6000</v>
      </c>
      <c r="Q63" s="5" t="str">
        <f aca="false">IF(P63&gt;=Assumptions!$B$16,"Head of AM (Gayu)",IF(M63&gt;0,"Same AM as the primary line",IF(G63="US + Canada","AM, US + Canada (test hire)",IF(C63="Paid media","AM, Paid Media, India + RoW","AM, SEO and GEO, India + RoW"))))</f>
        <v>Same AM as the primary line</v>
      </c>
    </row>
    <row r="64" customFormat="false" ht="15" hidden="false" customHeight="false" outlineLevel="0" collapsed="false">
      <c r="A64" s="5" t="s">
        <v>192</v>
      </c>
      <c r="B64" s="5" t="s">
        <v>192</v>
      </c>
      <c r="C64" s="5" t="s">
        <v>206</v>
      </c>
      <c r="D64" s="5" t="s">
        <v>242</v>
      </c>
      <c r="E64" s="5" t="s">
        <v>243</v>
      </c>
      <c r="F64" s="5" t="s">
        <v>209</v>
      </c>
      <c r="G64" s="5" t="str">
        <f aca="false">IF(OR(F64="US",F64="US + Canada"),"US + Canada",IF(F64="Untagged","Untagged","India + RoW"))</f>
        <v>India + RoW</v>
      </c>
      <c r="H64" s="21" t="n">
        <v>3000</v>
      </c>
      <c r="I64" s="35" t="s">
        <v>158</v>
      </c>
      <c r="J64" s="35"/>
      <c r="K64" s="5" t="str">
        <f aca="false">IF(H64&gt;=Assumptions!$B$11,"Enterprise",IF(H64&gt;=Assumptions!$B$12,"Mid","Starter"))</f>
        <v>Starter</v>
      </c>
      <c r="L64" s="36" t="n">
        <f aca="false">IF(K64="Enterprise",Assumptions!$B$8,IF(K64="Mid",Assumptions!$B$9,Assumptions!$B$10))</f>
        <v>0.75</v>
      </c>
      <c r="M64" s="5" t="n">
        <f aca="false">COUNTIFS($A$6:$A$68,A64,$H$6:$H$68,"&gt;"&amp;H64)+COUNTIFS($A$5:A63,A64,$H$5:H63,H64)</f>
        <v>1</v>
      </c>
      <c r="N64" s="5" t="str">
        <f aca="false">IF(M64=0,"Primary line","Second line")</f>
        <v>Second line</v>
      </c>
      <c r="O64" s="36" t="n">
        <f aca="false">L64*IF(M64=0,1,Assumptions!$B$13)+IF(I64="Signed, not started",Assumptions!$B$14,0)</f>
        <v>0.375</v>
      </c>
      <c r="P64" s="37" t="n">
        <f aca="false">SUMIFS($H$6:$H$68,$A$6:$A$68,A64)</f>
        <v>6000</v>
      </c>
      <c r="Q64" s="5" t="str">
        <f aca="false">IF(P64&gt;=Assumptions!$B$16,"Head of AM (Gayu)",IF(M64&gt;0,"Same AM as the primary line",IF(G64="US + Canada","AM, US + Canada (test hire)",IF(C64="Paid media","AM, Paid Media, India + RoW","AM, SEO and GEO, India + RoW"))))</f>
        <v>Same AM as the primary line</v>
      </c>
    </row>
    <row r="65" customFormat="false" ht="15" hidden="false" customHeight="false" outlineLevel="0" collapsed="false">
      <c r="A65" s="5" t="s">
        <v>248</v>
      </c>
      <c r="B65" s="5" t="s">
        <v>248</v>
      </c>
      <c r="C65" s="5" t="s">
        <v>206</v>
      </c>
      <c r="D65" s="5" t="s">
        <v>242</v>
      </c>
      <c r="E65" s="5" t="s">
        <v>243</v>
      </c>
      <c r="F65" s="5" t="s">
        <v>222</v>
      </c>
      <c r="G65" s="5" t="str">
        <f aca="false">IF(OR(F65="US",F65="US + Canada"),"US + Canada",IF(F65="Untagged","Untagged","India + RoW"))</f>
        <v>Untagged</v>
      </c>
      <c r="H65" s="21" t="n">
        <v>4000</v>
      </c>
      <c r="I65" s="35" t="s">
        <v>158</v>
      </c>
      <c r="J65" s="35"/>
      <c r="K65" s="5" t="str">
        <f aca="false">IF(H65&gt;=Assumptions!$B$11,"Enterprise",IF(H65&gt;=Assumptions!$B$12,"Mid","Starter"))</f>
        <v>Mid</v>
      </c>
      <c r="L65" s="36" t="n">
        <f aca="false">IF(K65="Enterprise",Assumptions!$B$8,IF(K65="Mid",Assumptions!$B$9,Assumptions!$B$10))</f>
        <v>1</v>
      </c>
      <c r="M65" s="5" t="n">
        <f aca="false">COUNTIFS($A$6:$A$68,A65,$H$6:$H$68,"&gt;"&amp;H65)+COUNTIFS($A$5:A64,A65,$H$5:H64,H65)</f>
        <v>0</v>
      </c>
      <c r="N65" s="5" t="str">
        <f aca="false">IF(M65=0,"Primary line","Second line")</f>
        <v>Primary line</v>
      </c>
      <c r="O65" s="36" t="n">
        <f aca="false">L65*IF(M65=0,1,Assumptions!$B$13)+IF(I65="Signed, not started",Assumptions!$B$14,0)</f>
        <v>1</v>
      </c>
      <c r="P65" s="37" t="n">
        <f aca="false">SUMIFS($H$6:$H$68,$A$6:$A$68,A65)</f>
        <v>4000</v>
      </c>
      <c r="Q65" s="5" t="str">
        <f aca="false">IF(P65&gt;=Assumptions!$B$16,"Head of AM (Gayu)",IF(M65&gt;0,"Same AM as the primary line",IF(G65="US + Canada","AM, US + Canada (test hire)",IF(C65="Paid media","AM, Paid Media, India + RoW","AM, SEO and GEO, India + RoW"))))</f>
        <v>AM, SEO and GEO, India + RoW</v>
      </c>
    </row>
    <row r="66" customFormat="false" ht="15" hidden="false" customHeight="false" outlineLevel="0" collapsed="false">
      <c r="A66" s="5" t="s">
        <v>184</v>
      </c>
      <c r="B66" s="5" t="s">
        <v>184</v>
      </c>
      <c r="C66" s="5" t="s">
        <v>206</v>
      </c>
      <c r="D66" s="5" t="s">
        <v>242</v>
      </c>
      <c r="E66" s="5" t="s">
        <v>243</v>
      </c>
      <c r="F66" s="5" t="s">
        <v>161</v>
      </c>
      <c r="G66" s="5" t="str">
        <f aca="false">IF(OR(F66="US",F66="US + Canada"),"US + Canada",IF(F66="Untagged","Untagged","India + RoW"))</f>
        <v>US + Canada</v>
      </c>
      <c r="H66" s="21" t="n">
        <v>7000</v>
      </c>
      <c r="I66" s="35" t="s">
        <v>158</v>
      </c>
      <c r="J66" s="35"/>
      <c r="K66" s="5" t="str">
        <f aca="false">IF(H66&gt;=Assumptions!$B$11,"Enterprise",IF(H66&gt;=Assumptions!$B$12,"Mid","Starter"))</f>
        <v>Enterprise</v>
      </c>
      <c r="L66" s="36" t="n">
        <f aca="false">IF(K66="Enterprise",Assumptions!$B$8,IF(K66="Mid",Assumptions!$B$9,Assumptions!$B$10))</f>
        <v>1.5</v>
      </c>
      <c r="M66" s="5" t="n">
        <f aca="false">COUNTIFS($A$6:$A$68,A66,$H$6:$H$68,"&gt;"&amp;H66)+COUNTIFS($A$5:A65,A66,$H$5:H65,H66)</f>
        <v>1</v>
      </c>
      <c r="N66" s="5" t="str">
        <f aca="false">IF(M66=0,"Primary line","Second line")</f>
        <v>Second line</v>
      </c>
      <c r="O66" s="36" t="n">
        <f aca="false">L66*IF(M66=0,1,Assumptions!$B$13)+IF(I66="Signed, not started",Assumptions!$B$14,0)</f>
        <v>0.75</v>
      </c>
      <c r="P66" s="37" t="n">
        <f aca="false">SUMIFS($H$6:$H$68,$A$6:$A$68,A66)</f>
        <v>19000</v>
      </c>
      <c r="Q66" s="5" t="str">
        <f aca="false">IF(P66&gt;=Assumptions!$B$16,"Head of AM (Gayu)",IF(M66&gt;0,"Same AM as the primary line",IF(G66="US + Canada","AM, US + Canada (test hire)",IF(C66="Paid media","AM, Paid Media, India + RoW","AM, SEO and GEO, India + RoW"))))</f>
        <v>Head of AM (Gayu)</v>
      </c>
    </row>
    <row r="67" customFormat="false" ht="15" hidden="false" customHeight="false" outlineLevel="0" collapsed="false">
      <c r="A67" s="5" t="s">
        <v>249</v>
      </c>
      <c r="B67" s="5" t="s">
        <v>249</v>
      </c>
      <c r="C67" s="5" t="s">
        <v>206</v>
      </c>
      <c r="D67" s="5" t="s">
        <v>250</v>
      </c>
      <c r="E67" s="5" t="s">
        <v>251</v>
      </c>
      <c r="F67" s="5" t="s">
        <v>209</v>
      </c>
      <c r="G67" s="5" t="str">
        <f aca="false">IF(OR(F67="US",F67="US + Canada"),"US + Canada",IF(F67="Untagged","Untagged","India + RoW"))</f>
        <v>India + RoW</v>
      </c>
      <c r="H67" s="21" t="n">
        <v>6500</v>
      </c>
      <c r="I67" s="35" t="s">
        <v>158</v>
      </c>
      <c r="J67" s="35"/>
      <c r="K67" s="5" t="str">
        <f aca="false">IF(H67&gt;=Assumptions!$B$11,"Enterprise",IF(H67&gt;=Assumptions!$B$12,"Mid","Starter"))</f>
        <v>Mid</v>
      </c>
      <c r="L67" s="36" t="n">
        <f aca="false">IF(K67="Enterprise",Assumptions!$B$8,IF(K67="Mid",Assumptions!$B$9,Assumptions!$B$10))</f>
        <v>1</v>
      </c>
      <c r="M67" s="5" t="n">
        <f aca="false">COUNTIFS($A$6:$A$68,A67,$H$6:$H$68,"&gt;"&amp;H67)+COUNTIFS($A$5:A66,A67,$H$5:H66,H67)</f>
        <v>0</v>
      </c>
      <c r="N67" s="5" t="str">
        <f aca="false">IF(M67=0,"Primary line","Second line")</f>
        <v>Primary line</v>
      </c>
      <c r="O67" s="36" t="n">
        <f aca="false">L67*IF(M67=0,1,Assumptions!$B$13)+IF(I67="Signed, not started",Assumptions!$B$14,0)</f>
        <v>1</v>
      </c>
      <c r="P67" s="37" t="n">
        <f aca="false">SUMIFS($H$6:$H$68,$A$6:$A$68,A67)</f>
        <v>6500</v>
      </c>
      <c r="Q67" s="5" t="str">
        <f aca="false">IF(P67&gt;=Assumptions!$B$16,"Head of AM (Gayu)",IF(M67&gt;0,"Same AM as the primary line",IF(G67="US + Canada","AM, US + Canada (test hire)",IF(C67="Paid media","AM, Paid Media, India + RoW","AM, SEO and GEO, India + RoW"))))</f>
        <v>AM, SEO and GEO, India + RoW</v>
      </c>
    </row>
    <row r="68" customFormat="false" ht="15" hidden="false" customHeight="false" outlineLevel="0" collapsed="false">
      <c r="A68" s="5" t="s">
        <v>252</v>
      </c>
      <c r="B68" s="5" t="s">
        <v>252</v>
      </c>
      <c r="C68" s="5" t="s">
        <v>206</v>
      </c>
      <c r="D68" s="5" t="s">
        <v>250</v>
      </c>
      <c r="E68" s="5" t="s">
        <v>251</v>
      </c>
      <c r="F68" s="5" t="s">
        <v>209</v>
      </c>
      <c r="G68" s="5" t="str">
        <f aca="false">IF(OR(F68="US",F68="US + Canada"),"US + Canada",IF(F68="Untagged","Untagged","India + RoW"))</f>
        <v>India + RoW</v>
      </c>
      <c r="H68" s="21" t="n">
        <v>2500</v>
      </c>
      <c r="I68" s="35" t="s">
        <v>158</v>
      </c>
      <c r="J68" s="35"/>
      <c r="K68" s="5" t="str">
        <f aca="false">IF(H68&gt;=Assumptions!$B$11,"Enterprise",IF(H68&gt;=Assumptions!$B$12,"Mid","Starter"))</f>
        <v>Starter</v>
      </c>
      <c r="L68" s="36" t="n">
        <f aca="false">IF(K68="Enterprise",Assumptions!$B$8,IF(K68="Mid",Assumptions!$B$9,Assumptions!$B$10))</f>
        <v>0.75</v>
      </c>
      <c r="M68" s="5" t="n">
        <f aca="false">COUNTIFS($A$6:$A$68,A68,$H$6:$H$68,"&gt;"&amp;H68)+COUNTIFS($A$5:A67,A68,$H$5:H67,H68)</f>
        <v>0</v>
      </c>
      <c r="N68" s="5" t="str">
        <f aca="false">IF(M68=0,"Primary line","Second line")</f>
        <v>Primary line</v>
      </c>
      <c r="O68" s="36" t="n">
        <f aca="false">L68*IF(M68=0,1,Assumptions!$B$13)+IF(I68="Signed, not started",Assumptions!$B$14,0)</f>
        <v>0.75</v>
      </c>
      <c r="P68" s="37" t="n">
        <f aca="false">SUMIFS($H$6:$H$68,$A$6:$A$68,A68)</f>
        <v>2500</v>
      </c>
      <c r="Q68" s="5" t="str">
        <f aca="false">IF(P68&gt;=Assumptions!$B$16,"Head of AM (Gayu)",IF(M68&gt;0,"Same AM as the primary line",IF(G68="US + Canada","AM, US + Canada (test hire)",IF(C68="Paid media","AM, Paid Media, India + RoW","AM, SEO and GEO, India + RoW"))))</f>
        <v>AM, SEO and GEO, India + RoW</v>
      </c>
    </row>
    <row r="69" customFormat="false" ht="15" hidden="false" customHeight="false" outlineLevel="0" collapsed="false">
      <c r="A69" s="38" t="s">
        <v>253</v>
      </c>
      <c r="B69" s="38" t="str">
        <f aca="false">COUNTA(A6:A68)&amp;" engagements, "&amp;SUMPRODUCT(--(N6:N68="Primary line"))&amp;" accounts"</f>
        <v>63 engagements, 55 accounts</v>
      </c>
      <c r="C69" s="38"/>
      <c r="D69" s="38"/>
      <c r="E69" s="38"/>
      <c r="F69" s="38"/>
      <c r="G69" s="38"/>
      <c r="H69" s="39" t="n">
        <f aca="false">SUM(H6:H68)</f>
        <v>307225</v>
      </c>
      <c r="I69" s="38"/>
      <c r="J69" s="38"/>
      <c r="K69" s="38"/>
      <c r="L69" s="38"/>
      <c r="M69" s="38"/>
      <c r="N69" s="38"/>
      <c r="O69" s="40" t="n">
        <f aca="false">SUM(O6:O68)</f>
        <v>61.75</v>
      </c>
      <c r="P69" s="38"/>
      <c r="Q69" s="38"/>
    </row>
  </sheetData>
  <autoFilter ref="A5:Q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5" min="2" style="0" width="16"/>
    <col collapsed="false" customWidth="true" hidden="false" outlineLevel="0" max="6" min="6" style="0" width="22"/>
    <col collapsed="false" customWidth="true" hidden="false" outlineLevel="0" max="8" min="7" style="0" width="18"/>
  </cols>
  <sheetData>
    <row r="1" customFormat="false" ht="17.35" hidden="false" customHeight="false" outlineLevel="0" collapsed="false">
      <c r="A1" s="1" t="s">
        <v>254</v>
      </c>
      <c r="B1" s="2"/>
      <c r="C1" s="2"/>
      <c r="D1" s="2"/>
      <c r="E1" s="2"/>
      <c r="F1" s="2"/>
      <c r="G1" s="2"/>
      <c r="H1" s="2"/>
    </row>
    <row r="2" customFormat="false" ht="15" hidden="false" customHeight="false" outlineLevel="0" collapsed="false">
      <c r="A2" s="3" t="s">
        <v>255</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15" t="s">
        <v>256</v>
      </c>
      <c r="B4" s="16"/>
      <c r="C4" s="16"/>
      <c r="D4" s="16"/>
      <c r="E4" s="16"/>
      <c r="F4" s="16"/>
      <c r="G4" s="16"/>
      <c r="H4" s="16"/>
    </row>
    <row r="5" customFormat="false" ht="15" hidden="false" customHeight="false" outlineLevel="0" collapsed="false">
      <c r="A5" s="4" t="s">
        <v>137</v>
      </c>
      <c r="B5" s="4" t="s">
        <v>209</v>
      </c>
      <c r="C5" s="4" t="s">
        <v>257</v>
      </c>
      <c r="D5" s="4" t="s">
        <v>222</v>
      </c>
      <c r="E5" s="4" t="s">
        <v>258</v>
      </c>
      <c r="F5" s="4" t="s">
        <v>259</v>
      </c>
      <c r="G5" s="4" t="s">
        <v>260</v>
      </c>
      <c r="H5" s="4" t="s">
        <v>261</v>
      </c>
    </row>
    <row r="6" customFormat="false" ht="15" hidden="false" customHeight="false" outlineLevel="0" collapsed="false">
      <c r="A6" s="5" t="s">
        <v>154</v>
      </c>
      <c r="B6" s="8" t="n">
        <f aca="false">SUMIFS('Client Book'!$O$6:$O$68,'Client Book'!$C$6:$C$68,$A6,'Client Book'!$G$6:$G$68,"India + RoW")</f>
        <v>19.5</v>
      </c>
      <c r="C6" s="8" t="n">
        <f aca="false">SUMIFS('Client Book'!$O$6:$O$68,'Client Book'!$C$6:$C$68,$A6,'Client Book'!$G$6:$G$68,"US + Canada")</f>
        <v>9.75</v>
      </c>
      <c r="D6" s="8" t="n">
        <f aca="false">SUMIFS('Client Book'!$O$6:$O$68,'Client Book'!$C$6:$C$68,$A6,'Client Book'!$G$6:$G$68,"Untagged")</f>
        <v>0</v>
      </c>
      <c r="E6" s="41" t="n">
        <f aca="false">D6*Assumptions!$B$22</f>
        <v>0</v>
      </c>
      <c r="F6" s="41" t="n">
        <f aca="false">D6-E6</f>
        <v>0</v>
      </c>
      <c r="G6" s="41" t="n">
        <f aca="false">B6+F6</f>
        <v>19.5</v>
      </c>
      <c r="H6" s="41" t="n">
        <f aca="false">C6+E6</f>
        <v>9.75</v>
      </c>
    </row>
    <row r="7" customFormat="false" ht="15" hidden="false" customHeight="false" outlineLevel="0" collapsed="false">
      <c r="A7" s="5" t="s">
        <v>206</v>
      </c>
      <c r="B7" s="8" t="n">
        <f aca="false">SUMIFS('Client Book'!$O$6:$O$68,'Client Book'!$C$6:$C$68,$A7,'Client Book'!$G$6:$G$68,"India + RoW")</f>
        <v>13.5</v>
      </c>
      <c r="C7" s="8" t="n">
        <f aca="false">SUMIFS('Client Book'!$O$6:$O$68,'Client Book'!$C$6:$C$68,$A7,'Client Book'!$G$6:$G$68,"US + Canada")</f>
        <v>5.25</v>
      </c>
      <c r="D7" s="8" t="n">
        <f aca="false">SUMIFS('Client Book'!$O$6:$O$68,'Client Book'!$C$6:$C$68,$A7,'Client Book'!$G$6:$G$68,"Untagged")</f>
        <v>13.75</v>
      </c>
      <c r="E7" s="41" t="n">
        <f aca="false">D7*Assumptions!$B$22</f>
        <v>4.125</v>
      </c>
      <c r="F7" s="41" t="n">
        <f aca="false">D7-E7</f>
        <v>9.625</v>
      </c>
      <c r="G7" s="41" t="n">
        <f aca="false">B7+F7</f>
        <v>23.125</v>
      </c>
      <c r="H7" s="41" t="n">
        <f aca="false">C7+E7</f>
        <v>9.375</v>
      </c>
    </row>
    <row r="8" customFormat="false" ht="15" hidden="false" customHeight="false" outlineLevel="0" collapsed="false">
      <c r="A8" s="5" t="s">
        <v>262</v>
      </c>
      <c r="B8" s="8" t="n">
        <f aca="false">Assumptions!$B$19*Assumptions!$B$21*Assumptions!$B$18</f>
        <v>0</v>
      </c>
      <c r="C8" s="8" t="n">
        <v>0</v>
      </c>
      <c r="D8" s="8" t="n">
        <v>0</v>
      </c>
      <c r="E8" s="41" t="n">
        <f aca="false">D8*Assumptions!$B$22</f>
        <v>0</v>
      </c>
      <c r="F8" s="41" t="n">
        <f aca="false">D8-E8</f>
        <v>0</v>
      </c>
      <c r="G8" s="41" t="n">
        <f aca="false">B8+F8</f>
        <v>0</v>
      </c>
      <c r="H8" s="41" t="n">
        <f aca="false">C8+E8</f>
        <v>0</v>
      </c>
    </row>
    <row r="9" customFormat="false" ht="15" hidden="false" customHeight="false" outlineLevel="0" collapsed="false">
      <c r="A9" s="38" t="s">
        <v>253</v>
      </c>
      <c r="B9" s="42" t="n">
        <f aca="false">SUM(B6:B8)</f>
        <v>33</v>
      </c>
      <c r="C9" s="42" t="n">
        <f aca="false">SUM(C6:C8)</f>
        <v>15</v>
      </c>
      <c r="D9" s="42" t="n">
        <f aca="false">SUM(D6:D8)</f>
        <v>13.75</v>
      </c>
      <c r="E9" s="42" t="n">
        <f aca="false">SUM(E6:E8)</f>
        <v>4.125</v>
      </c>
      <c r="F9" s="42" t="n">
        <f aca="false">SUM(F6:F8)</f>
        <v>9.625</v>
      </c>
      <c r="G9" s="42" t="n">
        <f aca="false">SUM(G6:G8)</f>
        <v>42.625</v>
      </c>
      <c r="H9" s="42" t="n">
        <f aca="false">SUM(H6:H8)</f>
        <v>19.125</v>
      </c>
    </row>
    <row r="10" customFormat="false" ht="15" hidden="false" customHeight="false" outlineLevel="0" collapsed="false">
      <c r="A10" s="2"/>
      <c r="B10" s="2"/>
      <c r="C10" s="2"/>
      <c r="D10" s="2"/>
      <c r="E10" s="2"/>
      <c r="F10" s="2"/>
      <c r="G10" s="2"/>
      <c r="H10" s="2"/>
    </row>
    <row r="11" customFormat="false" ht="15" hidden="false" customHeight="false" outlineLevel="0" collapsed="false">
      <c r="A11" s="5" t="s">
        <v>263</v>
      </c>
      <c r="B11" s="43" t="n">
        <f aca="false">G9+H9</f>
        <v>61.75</v>
      </c>
      <c r="C11" s="2"/>
      <c r="D11" s="2"/>
      <c r="E11" s="2"/>
      <c r="F11" s="2"/>
      <c r="G11" s="2"/>
      <c r="H11" s="2"/>
    </row>
    <row r="12" customFormat="false" ht="15" hidden="false" customHeight="false" outlineLevel="0" collapsed="false">
      <c r="A12" s="5" t="s">
        <v>264</v>
      </c>
      <c r="B12" s="43" t="n">
        <f aca="false">SUMIFS('Client Book'!$O$6:$O$68,'Client Book'!$Q$6:$Q$68,"Head of AM (Gayu)")</f>
        <v>4.25</v>
      </c>
      <c r="C12" s="2"/>
      <c r="D12" s="2"/>
      <c r="E12" s="2"/>
      <c r="F12" s="2"/>
      <c r="G12" s="2"/>
      <c r="H12" s="2"/>
    </row>
    <row r="13" customFormat="false" ht="15" hidden="false" customHeight="false" outlineLevel="0" collapsed="false">
      <c r="A13" s="5" t="s">
        <v>265</v>
      </c>
      <c r="B13" s="43" t="n">
        <f aca="false">MIN(B12,Assumptions!$B$15)</f>
        <v>4.25</v>
      </c>
      <c r="C13" s="2"/>
      <c r="D13" s="2"/>
      <c r="E13" s="2"/>
      <c r="F13" s="2"/>
      <c r="G13" s="2"/>
      <c r="H13" s="2"/>
    </row>
    <row r="14" customFormat="false" ht="15" hidden="false" customHeight="false" outlineLevel="0" collapsed="false">
      <c r="A14" s="5" t="s">
        <v>266</v>
      </c>
      <c r="B14" s="43" t="n">
        <f aca="false">B11-B13</f>
        <v>57.5</v>
      </c>
      <c r="C14" s="2"/>
      <c r="D14" s="2"/>
      <c r="E14" s="2"/>
      <c r="F14" s="2"/>
      <c r="G14" s="2"/>
      <c r="H14" s="2"/>
    </row>
    <row r="15" customFormat="false" ht="15" hidden="false" customHeight="false" outlineLevel="0" collapsed="false">
      <c r="A15" s="5" t="s">
        <v>267</v>
      </c>
      <c r="B15" s="36" t="n">
        <f aca="false">B14/Assumptions!$B$6</f>
        <v>4.42307692307692</v>
      </c>
      <c r="C15" s="2"/>
      <c r="D15" s="2"/>
      <c r="E15" s="2"/>
      <c r="F15" s="2"/>
      <c r="G15" s="2"/>
      <c r="H15" s="2"/>
    </row>
    <row r="16" customFormat="false" ht="15" hidden="false" customHeight="false" outlineLevel="0" collapsed="false">
      <c r="A16" s="9" t="s">
        <v>268</v>
      </c>
      <c r="B16" s="44" t="n">
        <f aca="false">ROUNDUP(B15,0)</f>
        <v>5</v>
      </c>
      <c r="C16" s="2"/>
      <c r="D16" s="2"/>
      <c r="E16" s="2"/>
      <c r="F16" s="2"/>
      <c r="G16" s="2"/>
      <c r="H16" s="2"/>
    </row>
    <row r="17" customFormat="false" ht="15" hidden="false" customHeight="false" outlineLevel="0" collapsed="false">
      <c r="A17" s="5" t="s">
        <v>269</v>
      </c>
      <c r="B17" s="27" t="n">
        <f aca="false">ROUND(H9/Assumptions!$B$6,0)</f>
        <v>1</v>
      </c>
      <c r="C17" s="2"/>
      <c r="D17" s="2"/>
      <c r="E17" s="2"/>
      <c r="F17" s="2"/>
      <c r="G17" s="2"/>
      <c r="H17" s="2"/>
    </row>
    <row r="18" customFormat="false" ht="15" hidden="false" customHeight="false" outlineLevel="0" collapsed="false">
      <c r="A18" s="5" t="s">
        <v>270</v>
      </c>
      <c r="B18" s="27" t="n">
        <f aca="false">B16-B17</f>
        <v>4</v>
      </c>
      <c r="C18" s="2"/>
      <c r="D18" s="2"/>
      <c r="E18" s="2"/>
      <c r="F18" s="2"/>
      <c r="G18" s="2"/>
      <c r="H18" s="2"/>
    </row>
    <row r="19" customFormat="false" ht="15" hidden="false" customHeight="false" outlineLevel="0" collapsed="false">
      <c r="A19" s="5" t="s">
        <v>271</v>
      </c>
      <c r="B19" s="27" t="n">
        <f aca="false">SUMPRODUCT(--('Client Book'!$N$6:$N$68="Primary line"))</f>
        <v>55</v>
      </c>
      <c r="C19" s="2"/>
      <c r="D19" s="2"/>
      <c r="E19" s="2"/>
      <c r="F19" s="2"/>
      <c r="G19" s="2"/>
      <c r="H19" s="2"/>
    </row>
    <row r="20" customFormat="false" ht="15" hidden="false" customHeight="false" outlineLevel="0" collapsed="false">
      <c r="A20" s="5" t="s">
        <v>9</v>
      </c>
      <c r="B20" s="27" t="n">
        <f aca="false">SUMPRODUCT(--('Client Book'!$N$6:$N$68="Second line"))</f>
        <v>8</v>
      </c>
      <c r="C20" s="2"/>
      <c r="D20" s="2"/>
      <c r="E20" s="2"/>
      <c r="F20" s="2"/>
      <c r="G20" s="2"/>
      <c r="H20" s="2"/>
    </row>
    <row r="21" customFormat="false" ht="15" hidden="false" customHeight="false" outlineLevel="0" collapsed="false">
      <c r="A21" s="5" t="s">
        <v>272</v>
      </c>
      <c r="B21" s="37" t="n">
        <f aca="false">SUM('Client Book'!$H$6:$H$68)+Assumptions!$B$20*Assumptions!$B$18</f>
        <v>307225</v>
      </c>
      <c r="C21" s="2"/>
      <c r="D21" s="2"/>
      <c r="E21" s="2"/>
      <c r="F21" s="2"/>
      <c r="G21" s="2"/>
      <c r="H21" s="2"/>
    </row>
    <row r="22" customFormat="false" ht="15" hidden="false" customHeight="false" outlineLevel="0" collapsed="false">
      <c r="A22" s="5" t="s">
        <v>273</v>
      </c>
      <c r="B22" s="37" t="n">
        <f aca="false">IF(B16=0,0,B21/B16)</f>
        <v>61445</v>
      </c>
      <c r="C22" s="2"/>
      <c r="D22" s="2"/>
      <c r="E22" s="2"/>
      <c r="F22" s="2"/>
      <c r="G22" s="2"/>
      <c r="H22" s="2"/>
    </row>
    <row r="23" customFormat="false" ht="15" hidden="false" customHeight="false" outlineLevel="0" collapsed="false">
      <c r="A23" s="2"/>
      <c r="B23" s="2"/>
      <c r="C23" s="2"/>
      <c r="D23" s="2"/>
      <c r="E23" s="2"/>
      <c r="F23" s="2"/>
      <c r="G23" s="2"/>
      <c r="H23" s="2"/>
    </row>
    <row r="24" customFormat="false" ht="15" hidden="false" customHeight="false" outlineLevel="0" collapsed="false">
      <c r="A24" s="15" t="s">
        <v>274</v>
      </c>
      <c r="B24" s="16"/>
      <c r="C24" s="16"/>
      <c r="D24" s="16"/>
      <c r="E24" s="16"/>
      <c r="F24" s="16"/>
      <c r="G24" s="16"/>
      <c r="H24" s="16"/>
    </row>
    <row r="25" customFormat="false" ht="15" hidden="false" customHeight="false" outlineLevel="0" collapsed="false">
      <c r="A25" s="5" t="s">
        <v>275</v>
      </c>
      <c r="B25" s="6" t="n">
        <f aca="false">Assumptions!$B$24</f>
        <v>73</v>
      </c>
      <c r="C25" s="2"/>
      <c r="D25" s="2"/>
      <c r="E25" s="2"/>
      <c r="F25" s="2"/>
      <c r="G25" s="2"/>
      <c r="H25" s="2"/>
    </row>
    <row r="26" customFormat="false" ht="15" hidden="false" customHeight="false" outlineLevel="0" collapsed="false">
      <c r="A26" s="5" t="s">
        <v>276</v>
      </c>
      <c r="B26" s="45" t="n">
        <f aca="false">COUNTA('Client Book'!$A$6:$A$68)+Assumptions!$B$19*Assumptions!$B$18</f>
        <v>63</v>
      </c>
      <c r="C26" s="2"/>
      <c r="D26" s="2"/>
      <c r="E26" s="2"/>
      <c r="F26" s="2"/>
      <c r="G26" s="2"/>
      <c r="H26" s="2"/>
    </row>
    <row r="27" customFormat="false" ht="15" hidden="false" customHeight="false" outlineLevel="0" collapsed="false">
      <c r="A27" s="5" t="s">
        <v>70</v>
      </c>
      <c r="B27" s="6" t="n">
        <f aca="false">Assumptions!$B$25</f>
        <v>100</v>
      </c>
      <c r="C27" s="2"/>
      <c r="D27" s="2"/>
      <c r="E27" s="2"/>
      <c r="F27" s="2"/>
      <c r="G27" s="2"/>
      <c r="H27" s="2"/>
    </row>
    <row r="28" customFormat="false" ht="15" hidden="false" customHeight="false" outlineLevel="0" collapsed="false">
      <c r="A28" s="5" t="s">
        <v>277</v>
      </c>
      <c r="B28" s="41" t="n">
        <f aca="false">B27*B26/B25</f>
        <v>86.3013698630137</v>
      </c>
      <c r="C28" s="2"/>
      <c r="D28" s="2"/>
      <c r="E28" s="2"/>
      <c r="F28" s="2"/>
      <c r="G28" s="2"/>
      <c r="H28" s="2"/>
    </row>
    <row r="29" customFormat="false" ht="15" hidden="false" customHeight="false" outlineLevel="0" collapsed="false">
      <c r="A29" s="5" t="s">
        <v>278</v>
      </c>
      <c r="B29" s="46" t="n">
        <f aca="false">IF(B26=0,0,B11/B26)</f>
        <v>0.98015873015873</v>
      </c>
      <c r="C29" s="2"/>
      <c r="D29" s="2"/>
      <c r="E29" s="2"/>
      <c r="F29" s="2"/>
      <c r="G29" s="2"/>
      <c r="H29" s="2"/>
    </row>
    <row r="30" customFormat="false" ht="15" hidden="false" customHeight="false" outlineLevel="0" collapsed="false">
      <c r="A30" s="5" t="s">
        <v>279</v>
      </c>
      <c r="B30" s="41" t="n">
        <f aca="false">B28*B29</f>
        <v>84.5890410958904</v>
      </c>
      <c r="C30" s="2"/>
      <c r="D30" s="2"/>
      <c r="E30" s="2"/>
      <c r="F30" s="2"/>
      <c r="G30" s="2"/>
      <c r="H30" s="2"/>
    </row>
    <row r="31" customFormat="false" ht="15" hidden="false" customHeight="false" outlineLevel="0" collapsed="false">
      <c r="A31" s="5" t="s">
        <v>280</v>
      </c>
      <c r="B31" s="41" t="n">
        <f aca="false">(B28-B26)*Assumptions!$B$14</f>
        <v>11.6506849315069</v>
      </c>
      <c r="C31" s="2"/>
      <c r="D31" s="2"/>
      <c r="E31" s="2"/>
      <c r="F31" s="2"/>
      <c r="G31" s="2"/>
      <c r="H31" s="2"/>
    </row>
    <row r="32" customFormat="false" ht="15" hidden="false" customHeight="false" outlineLevel="0" collapsed="false">
      <c r="A32" s="5" t="s">
        <v>281</v>
      </c>
      <c r="B32" s="41" t="n">
        <f aca="false">B30+B31</f>
        <v>96.2397260273973</v>
      </c>
      <c r="C32" s="2"/>
      <c r="D32" s="2"/>
      <c r="E32" s="2"/>
      <c r="F32" s="2"/>
      <c r="G32" s="2"/>
      <c r="H32" s="2"/>
    </row>
    <row r="33" customFormat="false" ht="15" hidden="false" customHeight="false" outlineLevel="0" collapsed="false">
      <c r="A33" s="5" t="s">
        <v>282</v>
      </c>
      <c r="B33" s="41" t="n">
        <f aca="false">B30-Assumptions!$B$15</f>
        <v>78.5890410958904</v>
      </c>
      <c r="C33" s="2"/>
      <c r="D33" s="2"/>
      <c r="E33" s="2"/>
      <c r="F33" s="2"/>
      <c r="G33" s="2"/>
      <c r="H33" s="2"/>
    </row>
    <row r="34" customFormat="false" ht="15" hidden="false" customHeight="false" outlineLevel="0" collapsed="false">
      <c r="A34" s="5" t="s">
        <v>283</v>
      </c>
      <c r="B34" s="45" t="n">
        <f aca="false">ROUNDUP(B33/Assumptions!$B$6,0)</f>
        <v>7</v>
      </c>
      <c r="C34" s="2"/>
      <c r="D34" s="2"/>
      <c r="E34" s="2"/>
      <c r="F34" s="2"/>
      <c r="G34" s="2"/>
      <c r="H34" s="2"/>
    </row>
    <row r="35" customFormat="false" ht="15" hidden="false" customHeight="false" outlineLevel="0" collapsed="false">
      <c r="A35" s="5" t="s">
        <v>284</v>
      </c>
      <c r="B35" s="45" t="n">
        <f aca="false">ROUNDUP((B32-Assumptions!$B$15)/Assumptions!$B$7,0)</f>
        <v>6</v>
      </c>
      <c r="C35" s="2"/>
      <c r="D35" s="2"/>
      <c r="E35" s="2"/>
      <c r="F35" s="2"/>
      <c r="G35" s="2"/>
      <c r="H35" s="2"/>
    </row>
    <row r="36" customFormat="false" ht="15" hidden="false" customHeight="false" outlineLevel="0" collapsed="false">
      <c r="A36" s="9" t="s">
        <v>285</v>
      </c>
      <c r="B36" s="47" t="n">
        <f aca="false">MAX(B34,B35)</f>
        <v>7</v>
      </c>
      <c r="C36" s="2"/>
      <c r="D36" s="2"/>
      <c r="E36" s="2"/>
      <c r="F36" s="2"/>
      <c r="G36" s="2"/>
      <c r="H36" s="2"/>
    </row>
    <row r="37" customFormat="false" ht="15" hidden="false" customHeight="false" outlineLevel="0" collapsed="false">
      <c r="A37" s="5" t="s">
        <v>286</v>
      </c>
      <c r="B37" s="45" t="n">
        <f aca="false">ROUND(B36*H9/B11,0)</f>
        <v>2</v>
      </c>
      <c r="C37" s="2"/>
      <c r="D37" s="2"/>
      <c r="E37" s="2"/>
      <c r="F37" s="2"/>
      <c r="G37" s="2"/>
      <c r="H37" s="2"/>
    </row>
    <row r="38" customFormat="false" ht="15" hidden="false" customHeight="false" outlineLevel="0" collapsed="false">
      <c r="A38" s="5" t="s">
        <v>270</v>
      </c>
      <c r="B38" s="45" t="n">
        <f aca="false">B36-B37</f>
        <v>5</v>
      </c>
      <c r="C38" s="2"/>
      <c r="D38" s="2"/>
      <c r="E38" s="2"/>
      <c r="F38" s="2"/>
      <c r="G38" s="2"/>
      <c r="H38" s="2"/>
    </row>
    <row r="39" customFormat="false" ht="15" hidden="false" customHeight="false" outlineLevel="0" collapsed="false">
      <c r="A39" s="2"/>
      <c r="B39" s="2"/>
      <c r="C39" s="2"/>
      <c r="D39" s="2"/>
      <c r="E39" s="2"/>
      <c r="F39" s="2"/>
      <c r="G39" s="2"/>
      <c r="H39" s="2"/>
    </row>
    <row r="40" customFormat="false" ht="15" hidden="false" customHeight="false" outlineLevel="0" collapsed="false">
      <c r="A40" s="15" t="s">
        <v>287</v>
      </c>
      <c r="B40" s="16"/>
      <c r="C40" s="16"/>
      <c r="D40" s="16"/>
      <c r="E40" s="16"/>
      <c r="F40" s="16"/>
      <c r="G40" s="16"/>
      <c r="H40" s="16"/>
    </row>
    <row r="41" customFormat="false" ht="23.85" hidden="false" customHeight="false" outlineLevel="0" collapsed="false">
      <c r="A41" s="4" t="s">
        <v>137</v>
      </c>
      <c r="B41" s="4" t="s">
        <v>288</v>
      </c>
      <c r="C41" s="4" t="s">
        <v>289</v>
      </c>
      <c r="D41" s="4" t="s">
        <v>290</v>
      </c>
      <c r="E41" s="4" t="s">
        <v>291</v>
      </c>
      <c r="F41" s="4" t="s">
        <v>292</v>
      </c>
      <c r="G41" s="2"/>
      <c r="H41" s="2"/>
    </row>
    <row r="42" customFormat="false" ht="15" hidden="false" customHeight="false" outlineLevel="0" collapsed="false">
      <c r="A42" s="5" t="s">
        <v>154</v>
      </c>
      <c r="B42" s="33" t="n">
        <v>2</v>
      </c>
      <c r="C42" s="43" t="n">
        <f aca="false">B42*Assumptions!$B$6</f>
        <v>26</v>
      </c>
      <c r="D42" s="43" t="n">
        <f aca="false">SUMIFS('Client Book'!$O$6:$O$68,'Client Book'!$C$6:$C$68,"Paid media",'Client Book'!$Q$6:$Q$68,"&lt;&gt;Head of AM (Gayu)")</f>
        <v>27.25</v>
      </c>
      <c r="E42" s="48" t="n">
        <f aca="false">IF(D42=0,0,MIN(1,C42/D42))</f>
        <v>0.954128440366973</v>
      </c>
      <c r="F42" s="43" t="n">
        <f aca="false">MAX(0,D42-C42)</f>
        <v>1.25</v>
      </c>
      <c r="G42" s="2"/>
      <c r="H42" s="2"/>
    </row>
    <row r="43" customFormat="false" ht="15" hidden="false" customHeight="false" outlineLevel="0" collapsed="false">
      <c r="A43" s="5" t="s">
        <v>206</v>
      </c>
      <c r="B43" s="33" t="n">
        <v>1</v>
      </c>
      <c r="C43" s="43" t="n">
        <f aca="false">B43*Assumptions!$B$6</f>
        <v>13</v>
      </c>
      <c r="D43" s="43" t="n">
        <f aca="false">SUMIFS('Client Book'!$O$6:$O$68,'Client Book'!$C$6:$C$68,"SEO and GEO",'Client Book'!$Q$6:$Q$68,"&lt;&gt;Head of AM (Gayu)")</f>
        <v>30.25</v>
      </c>
      <c r="E43" s="48" t="n">
        <f aca="false">IF(D43=0,0,MIN(1,C43/D43))</f>
        <v>0.429752066115703</v>
      </c>
      <c r="F43" s="43" t="n">
        <f aca="false">MAX(0,D43-C43)</f>
        <v>17.25</v>
      </c>
      <c r="G43" s="2"/>
      <c r="H43" s="2"/>
    </row>
    <row r="44" customFormat="false" ht="15" hidden="false" customHeight="false" outlineLevel="0" collapsed="false">
      <c r="A44" s="5" t="s">
        <v>293</v>
      </c>
      <c r="B44" s="2" t="n">
        <v>1</v>
      </c>
      <c r="C44" s="43" t="n">
        <f aca="false">Assumptions!$B$15</f>
        <v>6</v>
      </c>
      <c r="D44" s="43" t="n">
        <f aca="false">B12</f>
        <v>4.25</v>
      </c>
      <c r="E44" s="48" t="n">
        <f aca="false">IF(D44=0,0,MIN(1,C44/D44))</f>
        <v>1</v>
      </c>
      <c r="F44" s="43" t="n">
        <f aca="false">MAX(0,D44-C44)</f>
        <v>0</v>
      </c>
      <c r="G44" s="2"/>
      <c r="H44" s="2"/>
    </row>
    <row r="45" customFormat="false" ht="15" hidden="false" customHeight="false" outlineLevel="0" collapsed="false">
      <c r="A45" s="38" t="s">
        <v>253</v>
      </c>
      <c r="B45" s="49" t="n">
        <f aca="false">SUM(B42:B44)</f>
        <v>4</v>
      </c>
      <c r="C45" s="50" t="n">
        <f aca="false">SUM(C42:C44)</f>
        <v>45</v>
      </c>
      <c r="D45" s="50" t="n">
        <f aca="false">SUM(D42:D44)</f>
        <v>61.75</v>
      </c>
      <c r="E45" s="51" t="n">
        <f aca="false">IF(D45=0,0,MIN(1,(D45-F45)/D45))</f>
        <v>0.700404858299595</v>
      </c>
      <c r="F45" s="50" t="n">
        <f aca="false">SUM(F42:F44)</f>
        <v>18.5</v>
      </c>
      <c r="G45" s="2"/>
      <c r="H45" s="2"/>
    </row>
    <row r="46" customFormat="false" ht="15" hidden="false" customHeight="false" outlineLevel="0" collapsed="false">
      <c r="A46" s="3" t="s">
        <v>294</v>
      </c>
      <c r="B46" s="2"/>
      <c r="C46" s="2"/>
      <c r="D46" s="2"/>
      <c r="E46" s="2"/>
      <c r="F46" s="2"/>
      <c r="G46" s="2"/>
      <c r="H46" s="2"/>
    </row>
    <row r="47" customFormat="false" ht="15" hidden="false" customHeight="false" outlineLevel="0" collapsed="false">
      <c r="A47" s="2"/>
      <c r="B47" s="2"/>
      <c r="C47" s="2"/>
      <c r="D47" s="2"/>
      <c r="E47" s="2"/>
      <c r="F47" s="2"/>
      <c r="G47" s="2"/>
      <c r="H47" s="2"/>
    </row>
    <row r="48" customFormat="false" ht="15" hidden="false" customHeight="false" outlineLevel="0" collapsed="false">
      <c r="A48" s="15" t="s">
        <v>295</v>
      </c>
      <c r="B48" s="16"/>
      <c r="C48" s="16"/>
      <c r="D48" s="16"/>
      <c r="E48" s="16"/>
      <c r="F48" s="16"/>
      <c r="G48" s="16"/>
      <c r="H48" s="16"/>
    </row>
    <row r="49" customFormat="false" ht="23.85" hidden="false" customHeight="false" outlineLevel="0" collapsed="false">
      <c r="A49" s="4" t="s">
        <v>141</v>
      </c>
      <c r="B49" s="4" t="s">
        <v>10</v>
      </c>
      <c r="C49" s="4" t="s">
        <v>296</v>
      </c>
      <c r="D49" s="4" t="s">
        <v>297</v>
      </c>
      <c r="E49" s="4" t="s">
        <v>298</v>
      </c>
      <c r="F49" s="2"/>
      <c r="G49" s="2"/>
      <c r="H49" s="2"/>
    </row>
    <row r="50" customFormat="false" ht="15" hidden="false" customHeight="false" outlineLevel="0" collapsed="false">
      <c r="A50" s="2" t="s">
        <v>299</v>
      </c>
      <c r="B50" s="52" t="n">
        <f aca="false">G9</f>
        <v>42.625</v>
      </c>
      <c r="C50" s="53" t="n">
        <f aca="false">IF(B11=0,0,B50/B11)</f>
        <v>0.690283400809717</v>
      </c>
      <c r="D50" s="54" t="n">
        <f aca="false">B18</f>
        <v>4</v>
      </c>
      <c r="E50" s="2" t="s">
        <v>157</v>
      </c>
      <c r="F50" s="2"/>
      <c r="G50" s="2"/>
      <c r="H50" s="2"/>
    </row>
    <row r="51" customFormat="false" ht="15" hidden="false" customHeight="false" outlineLevel="0" collapsed="false">
      <c r="A51" s="2" t="s">
        <v>300</v>
      </c>
      <c r="B51" s="52" t="n">
        <f aca="false">H9</f>
        <v>19.125</v>
      </c>
      <c r="C51" s="53" t="n">
        <f aca="false">IF(B11=0,0,B51/B11)</f>
        <v>0.309716599190283</v>
      </c>
      <c r="D51" s="54" t="n">
        <f aca="false">B17</f>
        <v>1</v>
      </c>
      <c r="E51" s="2" t="str">
        <f aca="false">IF(Assumptions!$B$45="Canada","1 test hire in Canada, then India-based on EST shift","1 test hire in South Africa (US mornings), rest India-based on EST shift")</f>
        <v>1 test hire in Canada, then India-based on EST shift</v>
      </c>
      <c r="F51" s="2"/>
      <c r="G51" s="2"/>
      <c r="H5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3" min="3" style="0" width="26"/>
    <col collapsed="false" customWidth="true" hidden="false" outlineLevel="0" max="4" min="4" style="0" width="52"/>
    <col collapsed="false" customWidth="true" hidden="false" outlineLevel="0" max="5" min="5" style="0" width="12"/>
    <col collapsed="false" customWidth="true" hidden="false" outlineLevel="0" max="6" min="6" style="0" width="22"/>
    <col collapsed="false" customWidth="true" hidden="false" outlineLevel="0" max="7" min="7" style="0" width="7"/>
    <col collapsed="false" customWidth="true" hidden="false" outlineLevel="0" max="8" min="8" style="0" width="12"/>
    <col collapsed="false" customWidth="true" hidden="false" outlineLevel="0" max="9" min="9" style="0" width="11"/>
    <col collapsed="false" customWidth="true" hidden="false" outlineLevel="0" max="10" min="10" style="0" width="12"/>
    <col collapsed="false" customWidth="true" hidden="false" outlineLevel="0" max="11" min="11" style="0" width="10"/>
    <col collapsed="false" customWidth="true" hidden="false" outlineLevel="0" max="13" min="12" style="0" width="14"/>
    <col collapsed="false" customWidth="true" hidden="false" outlineLevel="0" max="14" min="14" style="0" width="13"/>
  </cols>
  <sheetData>
    <row r="1" customFormat="false" ht="17.35" hidden="false" customHeight="false" outlineLevel="0" collapsed="false">
      <c r="A1" s="1" t="s">
        <v>301</v>
      </c>
      <c r="B1" s="2"/>
      <c r="C1" s="2"/>
      <c r="D1" s="2"/>
      <c r="E1" s="2"/>
      <c r="F1" s="2"/>
      <c r="G1" s="2"/>
      <c r="H1" s="2"/>
      <c r="I1" s="2"/>
      <c r="J1" s="2"/>
      <c r="K1" s="2"/>
      <c r="L1" s="2"/>
      <c r="M1" s="2"/>
      <c r="N1" s="2"/>
    </row>
    <row r="2" customFormat="false" ht="15" hidden="false" customHeight="false" outlineLevel="0" collapsed="false">
      <c r="A2" s="3" t="s">
        <v>302</v>
      </c>
      <c r="B2" s="2"/>
      <c r="C2" s="2"/>
      <c r="D2" s="2"/>
      <c r="E2" s="2"/>
      <c r="F2" s="2"/>
      <c r="G2" s="2"/>
      <c r="H2" s="2"/>
      <c r="I2" s="2"/>
      <c r="J2" s="2"/>
      <c r="K2" s="2"/>
      <c r="L2" s="2"/>
      <c r="M2" s="2"/>
      <c r="N2" s="2"/>
    </row>
    <row r="3" customFormat="false" ht="15" hidden="false" customHeight="false" outlineLevel="0" collapsed="false">
      <c r="A3" s="2"/>
      <c r="B3" s="2"/>
      <c r="C3" s="2"/>
      <c r="D3" s="2"/>
      <c r="E3" s="2"/>
      <c r="F3" s="2"/>
      <c r="G3" s="2"/>
      <c r="H3" s="2"/>
      <c r="I3" s="2"/>
      <c r="J3" s="2"/>
      <c r="K3" s="2"/>
      <c r="L3" s="2"/>
      <c r="M3" s="2"/>
      <c r="N3" s="2"/>
    </row>
    <row r="4" customFormat="false" ht="35.05" hidden="false" customHeight="false" outlineLevel="0" collapsed="false">
      <c r="A4" s="4" t="s">
        <v>303</v>
      </c>
      <c r="B4" s="4" t="s">
        <v>304</v>
      </c>
      <c r="C4" s="4" t="s">
        <v>137</v>
      </c>
      <c r="D4" s="4" t="s">
        <v>305</v>
      </c>
      <c r="E4" s="4" t="s">
        <v>306</v>
      </c>
      <c r="F4" s="4" t="s">
        <v>141</v>
      </c>
      <c r="G4" s="4" t="s">
        <v>307</v>
      </c>
      <c r="H4" s="4" t="s">
        <v>308</v>
      </c>
      <c r="I4" s="4" t="s">
        <v>309</v>
      </c>
      <c r="J4" s="4" t="s">
        <v>310</v>
      </c>
      <c r="K4" s="4" t="s">
        <v>311</v>
      </c>
      <c r="L4" s="4" t="s">
        <v>312</v>
      </c>
      <c r="M4" s="4" t="s">
        <v>313</v>
      </c>
      <c r="N4" s="4" t="s">
        <v>314</v>
      </c>
    </row>
    <row r="5" customFormat="false" ht="15" hidden="false" customHeight="false" outlineLevel="0" collapsed="false">
      <c r="A5" s="5" t="n">
        <v>0</v>
      </c>
      <c r="B5" s="5" t="s">
        <v>315</v>
      </c>
      <c r="C5" s="5" t="s">
        <v>316</v>
      </c>
      <c r="D5" s="5" t="s">
        <v>317</v>
      </c>
      <c r="E5" s="5" t="s">
        <v>157</v>
      </c>
      <c r="F5" s="5" t="s">
        <v>318</v>
      </c>
      <c r="G5" s="33" t="n">
        <v>1</v>
      </c>
      <c r="H5" s="33" t="n">
        <v>1</v>
      </c>
      <c r="I5" s="55" t="n">
        <f aca="false">Assumptions!$B$44</f>
        <v>0</v>
      </c>
      <c r="J5" s="55" t="n">
        <v>0</v>
      </c>
      <c r="K5" s="5" t="s">
        <v>319</v>
      </c>
      <c r="L5" s="56" t="n">
        <f aca="false">(I5+J5)*100000/Assumptions!$B$33*(1+Assumptions!$B$36)</f>
        <v>0</v>
      </c>
      <c r="M5" s="56" t="n">
        <f aca="false">L5/12</f>
        <v>0</v>
      </c>
      <c r="N5" s="57" t="n">
        <f aca="false">L5*Assumptions!$B$33/100000</f>
        <v>0</v>
      </c>
    </row>
    <row r="6" customFormat="false" ht="15" hidden="false" customHeight="false" outlineLevel="0" collapsed="false">
      <c r="A6" s="5" t="n">
        <v>1</v>
      </c>
      <c r="B6" s="5" t="s">
        <v>320</v>
      </c>
      <c r="C6" s="5" t="s">
        <v>154</v>
      </c>
      <c r="D6" s="5" t="s">
        <v>321</v>
      </c>
      <c r="E6" s="5" t="s">
        <v>157</v>
      </c>
      <c r="F6" s="5" t="s">
        <v>322</v>
      </c>
      <c r="G6" s="33" t="n">
        <v>1</v>
      </c>
      <c r="H6" s="33" t="n">
        <v>2</v>
      </c>
      <c r="I6" s="55" t="n">
        <f aca="false">Assumptions!$B$38</f>
        <v>15</v>
      </c>
      <c r="J6" s="55" t="n">
        <f aca="false">Assumptions!$B$39</f>
        <v>10</v>
      </c>
      <c r="K6" s="5" t="s">
        <v>319</v>
      </c>
      <c r="L6" s="56" t="n">
        <f aca="false">(I6+J6)*100000/Assumptions!$B$33*(1+Assumptions!$B$36)</f>
        <v>27659.5744680851</v>
      </c>
      <c r="M6" s="56" t="n">
        <f aca="false">L6/12</f>
        <v>2304.96453900709</v>
      </c>
      <c r="N6" s="57" t="n">
        <f aca="false">L6*Assumptions!$B$33/100000</f>
        <v>26</v>
      </c>
    </row>
    <row r="7" customFormat="false" ht="15" hidden="false" customHeight="false" outlineLevel="0" collapsed="false">
      <c r="A7" s="5" t="n">
        <v>2</v>
      </c>
      <c r="B7" s="5" t="s">
        <v>323</v>
      </c>
      <c r="C7" s="5" t="s">
        <v>324</v>
      </c>
      <c r="D7" s="5" t="s">
        <v>325</v>
      </c>
      <c r="E7" s="5" t="str">
        <f aca="false">Assumptions!$B$45</f>
        <v>Canada</v>
      </c>
      <c r="F7" s="5" t="s">
        <v>326</v>
      </c>
      <c r="G7" s="33" t="n">
        <v>1</v>
      </c>
      <c r="H7" s="33" t="n">
        <v>3</v>
      </c>
      <c r="I7" s="55" t="n">
        <f aca="false">IF(Assumptions!$B$45="Canada",Assumptions!$B$40,Assumptions!$B$42)</f>
        <v>75000</v>
      </c>
      <c r="J7" s="55" t="n">
        <f aca="false">IF(Assumptions!$B$45="Canada",Assumptions!$B$41,Assumptions!$B$43)</f>
        <v>25000</v>
      </c>
      <c r="K7" s="5" t="str">
        <f aca="false">IF(Assumptions!$B$45="Canada","CAD","ZAR")</f>
        <v>CAD</v>
      </c>
      <c r="L7" s="56" t="n">
        <f aca="false">(I7+J7)/IF(K7="CAD",Assumptions!$B$34,Assumptions!$B$35)*(1+Assumptions!$B$37)</f>
        <v>81159.4202898551</v>
      </c>
      <c r="M7" s="56" t="n">
        <f aca="false">L7/12</f>
        <v>6763.28502415459</v>
      </c>
      <c r="N7" s="57" t="n">
        <f aca="false">L7*Assumptions!$B$33/100000</f>
        <v>76.2898550724638</v>
      </c>
    </row>
    <row r="8" customFormat="false" ht="15" hidden="false" customHeight="false" outlineLevel="0" collapsed="false">
      <c r="A8" s="5" t="n">
        <v>3</v>
      </c>
      <c r="B8" s="5" t="s">
        <v>327</v>
      </c>
      <c r="C8" s="5" t="s">
        <v>206</v>
      </c>
      <c r="D8" s="5" t="s">
        <v>328</v>
      </c>
      <c r="E8" s="5" t="s">
        <v>157</v>
      </c>
      <c r="F8" s="5" t="s">
        <v>322</v>
      </c>
      <c r="G8" s="33" t="n">
        <v>1</v>
      </c>
      <c r="H8" s="33" t="n">
        <v>2</v>
      </c>
      <c r="I8" s="55" t="n">
        <f aca="false">Assumptions!$B$38</f>
        <v>15</v>
      </c>
      <c r="J8" s="55" t="n">
        <f aca="false">Assumptions!$B$39</f>
        <v>10</v>
      </c>
      <c r="K8" s="5" t="s">
        <v>319</v>
      </c>
      <c r="L8" s="56" t="n">
        <f aca="false">(I8+J8)*100000/Assumptions!$B$33*(1+Assumptions!$B$36)</f>
        <v>27659.5744680851</v>
      </c>
      <c r="M8" s="56" t="n">
        <f aca="false">L8/12</f>
        <v>2304.96453900709</v>
      </c>
      <c r="N8" s="57" t="n">
        <f aca="false">L8*Assumptions!$B$33/100000</f>
        <v>26</v>
      </c>
    </row>
    <row r="9" customFormat="false" ht="15" hidden="false" customHeight="false" outlineLevel="0" collapsed="false">
      <c r="A9" s="5" t="n">
        <v>4</v>
      </c>
      <c r="B9" s="5" t="s">
        <v>327</v>
      </c>
      <c r="C9" s="5" t="s">
        <v>206</v>
      </c>
      <c r="D9" s="5" t="s">
        <v>329</v>
      </c>
      <c r="E9" s="5" t="s">
        <v>157</v>
      </c>
      <c r="F9" s="5" t="s">
        <v>322</v>
      </c>
      <c r="G9" s="33" t="n">
        <v>2</v>
      </c>
      <c r="H9" s="33" t="n">
        <v>3</v>
      </c>
      <c r="I9" s="55" t="n">
        <f aca="false">Assumptions!$B$38</f>
        <v>15</v>
      </c>
      <c r="J9" s="55" t="n">
        <f aca="false">Assumptions!$B$39</f>
        <v>10</v>
      </c>
      <c r="K9" s="5" t="s">
        <v>319</v>
      </c>
      <c r="L9" s="56" t="n">
        <f aca="false">(I9+J9)*100000/Assumptions!$B$33*(1+Assumptions!$B$36)</f>
        <v>27659.5744680851</v>
      </c>
      <c r="M9" s="56" t="n">
        <f aca="false">L9/12</f>
        <v>2304.96453900709</v>
      </c>
      <c r="N9" s="57" t="n">
        <f aca="false">L9*Assumptions!$B$33/100000</f>
        <v>26</v>
      </c>
    </row>
    <row r="10" customFormat="false" ht="15" hidden="false" customHeight="false" outlineLevel="0" collapsed="false">
      <c r="A10" s="5" t="n">
        <v>5</v>
      </c>
      <c r="B10" s="5" t="s">
        <v>330</v>
      </c>
      <c r="C10" s="5" t="s">
        <v>154</v>
      </c>
      <c r="D10" s="5" t="s">
        <v>331</v>
      </c>
      <c r="E10" s="5" t="s">
        <v>157</v>
      </c>
      <c r="F10" s="5" t="s">
        <v>322</v>
      </c>
      <c r="G10" s="33" t="n">
        <v>2</v>
      </c>
      <c r="H10" s="33" t="n">
        <v>3</v>
      </c>
      <c r="I10" s="55" t="n">
        <f aca="false">Assumptions!$B$38</f>
        <v>15</v>
      </c>
      <c r="J10" s="55" t="n">
        <f aca="false">Assumptions!$B$39</f>
        <v>10</v>
      </c>
      <c r="K10" s="5" t="s">
        <v>319</v>
      </c>
      <c r="L10" s="56" t="n">
        <f aca="false">(I10+J10)*100000/Assumptions!$B$33*(1+Assumptions!$B$36)</f>
        <v>27659.5744680851</v>
      </c>
      <c r="M10" s="56" t="n">
        <f aca="false">L10/12</f>
        <v>2304.96453900709</v>
      </c>
      <c r="N10" s="57" t="n">
        <f aca="false">L10*Assumptions!$B$33/100000</f>
        <v>26</v>
      </c>
    </row>
    <row r="11" customFormat="false" ht="15" hidden="false" customHeight="false" outlineLevel="0" collapsed="false">
      <c r="A11" s="5" t="n">
        <v>6</v>
      </c>
      <c r="B11" s="5" t="s">
        <v>332</v>
      </c>
      <c r="C11" s="5" t="s">
        <v>316</v>
      </c>
      <c r="D11" s="5" t="s">
        <v>333</v>
      </c>
      <c r="E11" s="5" t="s">
        <v>157</v>
      </c>
      <c r="F11" s="5" t="s">
        <v>326</v>
      </c>
      <c r="G11" s="33" t="n">
        <v>3</v>
      </c>
      <c r="H11" s="33" t="n">
        <v>4</v>
      </c>
      <c r="I11" s="55" t="n">
        <f aca="false">Assumptions!$B$38</f>
        <v>15</v>
      </c>
      <c r="J11" s="55" t="n">
        <f aca="false">Assumptions!$B$39</f>
        <v>10</v>
      </c>
      <c r="K11" s="5" t="s">
        <v>319</v>
      </c>
      <c r="L11" s="56" t="n">
        <f aca="false">(I11+J11)*100000/Assumptions!$B$33*(1+Assumptions!$B$36)</f>
        <v>27659.5744680851</v>
      </c>
      <c r="M11" s="56" t="n">
        <f aca="false">L11/12</f>
        <v>2304.96453900709</v>
      </c>
      <c r="N11" s="57" t="n">
        <f aca="false">L11*Assumptions!$B$33/100000</f>
        <v>26</v>
      </c>
    </row>
    <row r="12" customFormat="false" ht="15" hidden="false" customHeight="false" outlineLevel="0" collapsed="false">
      <c r="A12" s="5" t="n">
        <v>7</v>
      </c>
      <c r="B12" s="5" t="s">
        <v>334</v>
      </c>
      <c r="C12" s="5" t="s">
        <v>335</v>
      </c>
      <c r="D12" s="5" t="s">
        <v>336</v>
      </c>
      <c r="E12" s="5" t="s">
        <v>157</v>
      </c>
      <c r="F12" s="5" t="s">
        <v>322</v>
      </c>
      <c r="G12" s="33" t="n">
        <v>3</v>
      </c>
      <c r="H12" s="33" t="n">
        <v>4</v>
      </c>
      <c r="I12" s="55" t="n">
        <f aca="false">Assumptions!$B$38</f>
        <v>15</v>
      </c>
      <c r="J12" s="55" t="n">
        <f aca="false">Assumptions!$B$39</f>
        <v>10</v>
      </c>
      <c r="K12" s="5" t="s">
        <v>319</v>
      </c>
      <c r="L12" s="56" t="n">
        <f aca="false">(I12+J12)*100000/Assumptions!$B$33*(1+Assumptions!$B$36)</f>
        <v>27659.5744680851</v>
      </c>
      <c r="M12" s="56" t="n">
        <f aca="false">L12/12</f>
        <v>2304.96453900709</v>
      </c>
      <c r="N12" s="57" t="n">
        <f aca="false">L12*Assumptions!$B$33/100000</f>
        <v>26</v>
      </c>
    </row>
    <row r="13" customFormat="false" ht="15" hidden="false" customHeight="false" outlineLevel="0" collapsed="false">
      <c r="A13" s="2"/>
      <c r="B13" s="2"/>
      <c r="C13" s="2"/>
      <c r="D13" s="2"/>
      <c r="E13" s="2"/>
      <c r="F13" s="2"/>
      <c r="G13" s="2"/>
      <c r="H13" s="2"/>
      <c r="I13" s="2"/>
      <c r="J13" s="2"/>
      <c r="K13" s="2"/>
      <c r="L13" s="2"/>
      <c r="M13" s="2"/>
      <c r="N13" s="2"/>
    </row>
    <row r="14" customFormat="false" ht="15" hidden="false" customHeight="false" outlineLevel="0" collapsed="false">
      <c r="A14" s="38"/>
      <c r="B14" s="38" t="s">
        <v>337</v>
      </c>
      <c r="C14" s="38"/>
      <c r="D14" s="38"/>
      <c r="E14" s="38"/>
      <c r="F14" s="38"/>
      <c r="G14" s="38" t="n">
        <f aca="false">COUNTIFS(G6:G12,"&lt;="&amp;Assumptions!$B$58)</f>
        <v>7</v>
      </c>
      <c r="H14" s="38"/>
      <c r="I14" s="38"/>
      <c r="J14" s="38"/>
      <c r="K14" s="38" t="s">
        <v>338</v>
      </c>
      <c r="L14" s="39" t="n">
        <f aca="false">SUMIFS(L5:L12,G5:G12,"&lt;="&amp;Assumptions!$B$58)</f>
        <v>247116.867098366</v>
      </c>
      <c r="M14" s="38"/>
      <c r="N14" s="58" t="n">
        <f aca="false">L14*Assumptions!$B$33/100000</f>
        <v>232.289855072464</v>
      </c>
    </row>
    <row r="15" customFormat="false" ht="15" hidden="false" customHeight="false" outlineLevel="0" collapsed="false">
      <c r="A15" s="2"/>
      <c r="B15" s="2"/>
      <c r="C15" s="2"/>
      <c r="D15" s="2"/>
      <c r="E15" s="2"/>
      <c r="F15" s="2"/>
      <c r="G15" s="2"/>
      <c r="H15" s="2"/>
      <c r="I15" s="2"/>
      <c r="J15" s="2"/>
      <c r="K15" s="2"/>
      <c r="L15" s="2"/>
      <c r="M15" s="2"/>
      <c r="N15" s="2"/>
    </row>
    <row r="16" customFormat="false" ht="15" hidden="false" customHeight="false" outlineLevel="0" collapsed="false">
      <c r="A16" s="2"/>
      <c r="B16" s="3" t="s">
        <v>339</v>
      </c>
      <c r="C16" s="2"/>
      <c r="D16" s="2"/>
      <c r="E16" s="2"/>
      <c r="F16" s="2"/>
      <c r="G16" s="2"/>
      <c r="H16" s="2"/>
      <c r="I16" s="2"/>
      <c r="J16" s="2"/>
      <c r="K16" s="2"/>
      <c r="L16" s="2"/>
      <c r="M16" s="2"/>
      <c r="N16" s="2"/>
    </row>
    <row r="17" customFormat="false" ht="15" hidden="false" customHeight="false" outlineLevel="0" collapsed="false">
      <c r="A17" s="2"/>
      <c r="B17" s="3" t="s">
        <v>340</v>
      </c>
      <c r="C17" s="2"/>
      <c r="D17" s="2"/>
      <c r="E17" s="2"/>
      <c r="F17" s="2"/>
      <c r="G17" s="2"/>
      <c r="H17" s="2"/>
      <c r="I17" s="2"/>
      <c r="J17" s="2"/>
      <c r="K17" s="2"/>
      <c r="L17" s="2"/>
      <c r="M17" s="2"/>
      <c r="N1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10" min="2" style="0" width="11"/>
  </cols>
  <sheetData>
    <row r="1" customFormat="false" ht="17.35" hidden="false" customHeight="false" outlineLevel="0" collapsed="false">
      <c r="A1" s="1" t="s">
        <v>341</v>
      </c>
      <c r="B1" s="2"/>
      <c r="C1" s="2"/>
      <c r="D1" s="2"/>
      <c r="E1" s="2"/>
      <c r="F1" s="2"/>
      <c r="G1" s="2"/>
      <c r="H1" s="2"/>
      <c r="I1" s="2"/>
      <c r="J1" s="2"/>
    </row>
    <row r="2" customFormat="false" ht="15" hidden="false" customHeight="false" outlineLevel="0" collapsed="false">
      <c r="A2" s="3" t="s">
        <v>342</v>
      </c>
      <c r="B2" s="2"/>
      <c r="C2" s="2"/>
      <c r="D2" s="2"/>
      <c r="E2" s="2"/>
      <c r="F2" s="2"/>
      <c r="G2" s="2"/>
      <c r="H2" s="2"/>
      <c r="I2" s="2"/>
      <c r="J2" s="2"/>
    </row>
    <row r="3" customFormat="false" ht="15" hidden="false" customHeight="false" outlineLevel="0" collapsed="false">
      <c r="A3" s="2"/>
      <c r="B3" s="2"/>
      <c r="C3" s="2"/>
      <c r="D3" s="2"/>
      <c r="E3" s="2"/>
      <c r="F3" s="2"/>
      <c r="G3" s="2"/>
      <c r="H3" s="2"/>
      <c r="I3" s="2"/>
      <c r="J3" s="2"/>
    </row>
    <row r="4" customFormat="false" ht="15" hidden="false" customHeight="false" outlineLevel="0" collapsed="false">
      <c r="A4" s="59" t="s">
        <v>343</v>
      </c>
      <c r="B4" s="59" t="s">
        <v>344</v>
      </c>
      <c r="C4" s="59" t="s">
        <v>345</v>
      </c>
      <c r="D4" s="59" t="s">
        <v>346</v>
      </c>
      <c r="E4" s="59" t="s">
        <v>347</v>
      </c>
      <c r="F4" s="59" t="s">
        <v>348</v>
      </c>
      <c r="G4" s="59" t="s">
        <v>349</v>
      </c>
      <c r="H4" s="59" t="s">
        <v>350</v>
      </c>
      <c r="I4" s="59" t="s">
        <v>351</v>
      </c>
      <c r="J4" s="59" t="s">
        <v>352</v>
      </c>
    </row>
    <row r="5" customFormat="false" ht="15" hidden="false" customHeight="false" outlineLevel="0" collapsed="false">
      <c r="A5" s="2" t="s">
        <v>353</v>
      </c>
      <c r="B5" s="7" t="n">
        <v>1</v>
      </c>
      <c r="C5" s="7" t="n">
        <v>2</v>
      </c>
      <c r="D5" s="7" t="n">
        <v>3</v>
      </c>
      <c r="E5" s="7" t="n">
        <v>4</v>
      </c>
      <c r="F5" s="7" t="n">
        <v>5</v>
      </c>
      <c r="G5" s="7" t="n">
        <v>6</v>
      </c>
      <c r="H5" s="7" t="n">
        <v>7</v>
      </c>
      <c r="I5" s="7" t="n">
        <v>8</v>
      </c>
      <c r="J5" s="7" t="n">
        <v>9</v>
      </c>
    </row>
    <row r="6" customFormat="false" ht="15" hidden="false" customHeight="false" outlineLevel="0" collapsed="false">
      <c r="A6" s="2"/>
      <c r="B6" s="2"/>
      <c r="C6" s="2"/>
      <c r="D6" s="2"/>
      <c r="E6" s="2"/>
      <c r="F6" s="2"/>
      <c r="G6" s="2"/>
      <c r="H6" s="2"/>
      <c r="I6" s="2"/>
      <c r="J6" s="2"/>
    </row>
    <row r="7" customFormat="false" ht="15" hidden="false" customHeight="false" outlineLevel="0" collapsed="false">
      <c r="A7" s="15" t="s">
        <v>354</v>
      </c>
      <c r="B7" s="16"/>
      <c r="C7" s="16"/>
      <c r="D7" s="16"/>
      <c r="E7" s="16"/>
      <c r="F7" s="16"/>
      <c r="G7" s="16"/>
      <c r="H7" s="16"/>
      <c r="I7" s="16"/>
      <c r="J7" s="16"/>
    </row>
    <row r="8" customFormat="false" ht="15" hidden="false" customHeight="false" outlineLevel="0" collapsed="false">
      <c r="A8" s="2" t="s">
        <v>355</v>
      </c>
      <c r="B8" s="52" t="n">
        <f aca="false">IF(B$5&lt;=Assumptions!$B$26,Assumptions!$B$24+(Assumptions!$B$25-Assumptions!$B$24)*B$5/Assumptions!$B$26,Assumptions!$B$25+(B$5-Assumptions!$B$26)*Assumptions!$B$27)</f>
        <v>86.5</v>
      </c>
      <c r="C8" s="52" t="n">
        <f aca="false">IF(C$5&lt;=Assumptions!$B$26,Assumptions!$B$24+(Assumptions!$B$25-Assumptions!$B$24)*C$5/Assumptions!$B$26,Assumptions!$B$25+(C$5-Assumptions!$B$26)*Assumptions!$B$27)</f>
        <v>100</v>
      </c>
      <c r="D8" s="52" t="n">
        <f aca="false">IF(D$5&lt;=Assumptions!$B$26,Assumptions!$B$24+(Assumptions!$B$25-Assumptions!$B$24)*D$5/Assumptions!$B$26,Assumptions!$B$25+(D$5-Assumptions!$B$26)*Assumptions!$B$27)</f>
        <v>104</v>
      </c>
      <c r="E8" s="52" t="n">
        <f aca="false">IF(E$5&lt;=Assumptions!$B$26,Assumptions!$B$24+(Assumptions!$B$25-Assumptions!$B$24)*E$5/Assumptions!$B$26,Assumptions!$B$25+(E$5-Assumptions!$B$26)*Assumptions!$B$27)</f>
        <v>108</v>
      </c>
      <c r="F8" s="52" t="n">
        <f aca="false">IF(F$5&lt;=Assumptions!$B$26,Assumptions!$B$24+(Assumptions!$B$25-Assumptions!$B$24)*F$5/Assumptions!$B$26,Assumptions!$B$25+(F$5-Assumptions!$B$26)*Assumptions!$B$27)</f>
        <v>112</v>
      </c>
      <c r="G8" s="52" t="n">
        <f aca="false">IF(G$5&lt;=Assumptions!$B$26,Assumptions!$B$24+(Assumptions!$B$25-Assumptions!$B$24)*G$5/Assumptions!$B$26,Assumptions!$B$25+(G$5-Assumptions!$B$26)*Assumptions!$B$27)</f>
        <v>116</v>
      </c>
      <c r="H8" s="52" t="n">
        <f aca="false">IF(H$5&lt;=Assumptions!$B$26,Assumptions!$B$24+(Assumptions!$B$25-Assumptions!$B$24)*H$5/Assumptions!$B$26,Assumptions!$B$25+(H$5-Assumptions!$B$26)*Assumptions!$B$27)</f>
        <v>120</v>
      </c>
      <c r="I8" s="52" t="n">
        <f aca="false">IF(I$5&lt;=Assumptions!$B$26,Assumptions!$B$24+(Assumptions!$B$25-Assumptions!$B$24)*I$5/Assumptions!$B$26,Assumptions!$B$25+(I$5-Assumptions!$B$26)*Assumptions!$B$27)</f>
        <v>124</v>
      </c>
      <c r="J8" s="52" t="n">
        <f aca="false">IF(J$5&lt;=Assumptions!$B$26,Assumptions!$B$24+(Assumptions!$B$25-Assumptions!$B$24)*J$5/Assumptions!$B$26,Assumptions!$B$25+(J$5-Assumptions!$B$26)*Assumptions!$B$27)</f>
        <v>128</v>
      </c>
    </row>
    <row r="9" customFormat="false" ht="15" hidden="false" customHeight="false" outlineLevel="0" collapsed="false">
      <c r="A9" s="2" t="s">
        <v>356</v>
      </c>
      <c r="B9" s="52" t="n">
        <f aca="false">B8*Capacity!$B$26/Capacity!$B$25</f>
        <v>74.6506849315069</v>
      </c>
      <c r="C9" s="52" t="n">
        <f aca="false">C8*Capacity!$B$26/Capacity!$B$25</f>
        <v>86.3013698630137</v>
      </c>
      <c r="D9" s="52" t="n">
        <f aca="false">D8*Capacity!$B$26/Capacity!$B$25</f>
        <v>89.7534246575343</v>
      </c>
      <c r="E9" s="52" t="n">
        <f aca="false">E8*Capacity!$B$26/Capacity!$B$25</f>
        <v>93.2054794520548</v>
      </c>
      <c r="F9" s="52" t="n">
        <f aca="false">F8*Capacity!$B$26/Capacity!$B$25</f>
        <v>96.6575342465753</v>
      </c>
      <c r="G9" s="52" t="n">
        <f aca="false">G8*Capacity!$B$26/Capacity!$B$25</f>
        <v>100.109589041096</v>
      </c>
      <c r="H9" s="52" t="n">
        <f aca="false">H8*Capacity!$B$26/Capacity!$B$25</f>
        <v>103.561643835616</v>
      </c>
      <c r="I9" s="52" t="n">
        <f aca="false">I8*Capacity!$B$26/Capacity!$B$25</f>
        <v>107.013698630137</v>
      </c>
      <c r="J9" s="52" t="n">
        <f aca="false">J8*Capacity!$B$26/Capacity!$B$25</f>
        <v>110.465753424658</v>
      </c>
    </row>
    <row r="10" customFormat="false" ht="15" hidden="false" customHeight="false" outlineLevel="0" collapsed="false">
      <c r="A10" s="2" t="s">
        <v>357</v>
      </c>
      <c r="B10" s="52" t="n">
        <f aca="false">MAX(0,B9-Capacity!$B$26)</f>
        <v>11.6506849315068</v>
      </c>
      <c r="C10" s="52" t="n">
        <f aca="false">MAX(0,C9-Capacity!$B$26)</f>
        <v>23.3013698630137</v>
      </c>
      <c r="D10" s="52" t="n">
        <f aca="false">MAX(0,D9-B9)</f>
        <v>15.1027397260274</v>
      </c>
      <c r="E10" s="52" t="n">
        <f aca="false">MAX(0,E9-C9)</f>
        <v>6.90410958904108</v>
      </c>
      <c r="F10" s="52" t="n">
        <f aca="false">MAX(0,F9-D9)</f>
        <v>6.90410958904108</v>
      </c>
      <c r="G10" s="52" t="n">
        <f aca="false">MAX(0,G9-E9)</f>
        <v>6.9041095890411</v>
      </c>
      <c r="H10" s="52" t="n">
        <f aca="false">MAX(0,H9-F9)</f>
        <v>6.9041095890411</v>
      </c>
      <c r="I10" s="52" t="n">
        <f aca="false">MAX(0,I9-G9)</f>
        <v>6.9041095890411</v>
      </c>
      <c r="J10" s="52" t="n">
        <f aca="false">MAX(0,J9-H9)</f>
        <v>6.9041095890411</v>
      </c>
    </row>
    <row r="11" customFormat="false" ht="15" hidden="false" customHeight="false" outlineLevel="0" collapsed="false">
      <c r="A11" s="2" t="s">
        <v>358</v>
      </c>
      <c r="B11" s="52" t="n">
        <f aca="false">B9*Capacity!$B$29+B10*Assumptions!$B$14</f>
        <v>78.9948630136986</v>
      </c>
      <c r="C11" s="52" t="n">
        <f aca="false">C9*Capacity!$B$29+C10*Assumptions!$B$14</f>
        <v>96.2397260273973</v>
      </c>
      <c r="D11" s="52" t="n">
        <f aca="false">D9*Capacity!$B$29+D10*Assumptions!$B$14</f>
        <v>95.5239726027397</v>
      </c>
      <c r="E11" s="52" t="n">
        <f aca="false">E9*Capacity!$B$29+E10*Assumptions!$B$14</f>
        <v>94.8082191780822</v>
      </c>
      <c r="F11" s="52" t="n">
        <f aca="false">F9*Capacity!$B$29+F10*Assumptions!$B$14</f>
        <v>98.1917808219178</v>
      </c>
      <c r="G11" s="52" t="n">
        <f aca="false">G9*Capacity!$B$29+G10*Assumptions!$B$14</f>
        <v>101.575342465753</v>
      </c>
      <c r="H11" s="52" t="n">
        <f aca="false">H9*Capacity!$B$29+H10*Assumptions!$B$14</f>
        <v>104.958904109589</v>
      </c>
      <c r="I11" s="52" t="n">
        <f aca="false">I9*Capacity!$B$29+I10*Assumptions!$B$14</f>
        <v>108.342465753425</v>
      </c>
      <c r="J11" s="52" t="n">
        <f aca="false">J9*Capacity!$B$29+J10*Assumptions!$B$14</f>
        <v>111.72602739726</v>
      </c>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15" t="s">
        <v>359</v>
      </c>
      <c r="B13" s="16"/>
      <c r="C13" s="16"/>
      <c r="D13" s="16"/>
      <c r="E13" s="16"/>
      <c r="F13" s="16"/>
      <c r="G13" s="16"/>
      <c r="H13" s="16"/>
      <c r="I13" s="16"/>
      <c r="J13" s="16"/>
    </row>
    <row r="14" customFormat="false" ht="15" hidden="false" customHeight="false" outlineLevel="0" collapsed="false">
      <c r="A14" s="2" t="str">
        <f aca="false">Seats!A5&amp;". "&amp;Seats!B5&amp;IF(Seats!G5&gt;Assumptions!$B$58," (not in modelled stage)","")</f>
        <v>0. Head of Account Management (Gayu, title to confirm)</v>
      </c>
      <c r="B14" s="52" t="n">
        <f aca="false">IF(B$5&lt;Seats!$H$5,0,Assumptions!$B$15)</f>
        <v>6</v>
      </c>
      <c r="C14" s="52" t="n">
        <f aca="false">IF(C$5&lt;Seats!$H$5,0,Assumptions!$B$15)</f>
        <v>6</v>
      </c>
      <c r="D14" s="52" t="n">
        <f aca="false">IF(D$5&lt;Seats!$H$5,0,Assumptions!$B$15)</f>
        <v>6</v>
      </c>
      <c r="E14" s="52" t="n">
        <f aca="false">IF(E$5&lt;Seats!$H$5,0,Assumptions!$B$15)</f>
        <v>6</v>
      </c>
      <c r="F14" s="52" t="n">
        <f aca="false">IF(F$5&lt;Seats!$H$5,0,Assumptions!$B$15)</f>
        <v>6</v>
      </c>
      <c r="G14" s="52" t="n">
        <f aca="false">IF(G$5&lt;Seats!$H$5,0,Assumptions!$B$15)</f>
        <v>6</v>
      </c>
      <c r="H14" s="52" t="n">
        <f aca="false">IF(H$5&lt;Seats!$H$5,0,Assumptions!$B$15)</f>
        <v>6</v>
      </c>
      <c r="I14" s="52" t="n">
        <f aca="false">IF(I$5&lt;Seats!$H$5,0,Assumptions!$B$15)</f>
        <v>6</v>
      </c>
      <c r="J14" s="52" t="n">
        <f aca="false">IF(J$5&lt;Seats!$H$5,0,Assumptions!$B$15)</f>
        <v>6</v>
      </c>
    </row>
    <row r="15" customFormat="false" ht="15" hidden="false" customHeight="false" outlineLevel="0" collapsed="false">
      <c r="A15" s="2" t="str">
        <f aca="false">Seats!A6&amp;". "&amp;Seats!B6&amp;IF(Seats!G6&gt;Assumptions!$B$58," (not in modelled stage)","")</f>
        <v>1. Account Manager, Paid Media</v>
      </c>
      <c r="B15" s="52" t="n">
        <f aca="false">IF(OR(Seats!$G$6&gt;Assumptions!$B$58,B$5&lt;Seats!$H$6),0,Assumptions!$B$6*IF((B$5-Seats!$H$6)=0,Assumptions!$B$29,IF((B$5-Seats!$H$6)=1,Assumptions!$B$30,Assumptions!$B$31)))</f>
        <v>0</v>
      </c>
      <c r="C15" s="52" t="n">
        <f aca="false">IF(OR(Seats!$G$6&gt;Assumptions!$B$58,C$5&lt;Seats!$H$6),0,Assumptions!$B$6*IF((C$5-Seats!$H$6)=0,Assumptions!$B$29,IF((C$5-Seats!$H$6)=1,Assumptions!$B$30,Assumptions!$B$31)))</f>
        <v>5.2</v>
      </c>
      <c r="D15" s="52" t="n">
        <f aca="false">IF(OR(Seats!$G$6&gt;Assumptions!$B$58,D$5&lt;Seats!$H$6),0,Assumptions!$B$6*IF((D$5-Seats!$H$6)=0,Assumptions!$B$29,IF((D$5-Seats!$H$6)=1,Assumptions!$B$30,Assumptions!$B$31)))</f>
        <v>9.1</v>
      </c>
      <c r="E15" s="52" t="n">
        <f aca="false">IF(OR(Seats!$G$6&gt;Assumptions!$B$58,E$5&lt;Seats!$H$6),0,Assumptions!$B$6*IF((E$5-Seats!$H$6)=0,Assumptions!$B$29,IF((E$5-Seats!$H$6)=1,Assumptions!$B$30,Assumptions!$B$31)))</f>
        <v>13</v>
      </c>
      <c r="F15" s="52" t="n">
        <f aca="false">IF(OR(Seats!$G$6&gt;Assumptions!$B$58,F$5&lt;Seats!$H$6),0,Assumptions!$B$6*IF((F$5-Seats!$H$6)=0,Assumptions!$B$29,IF((F$5-Seats!$H$6)=1,Assumptions!$B$30,Assumptions!$B$31)))</f>
        <v>13</v>
      </c>
      <c r="G15" s="52" t="n">
        <f aca="false">IF(OR(Seats!$G$6&gt;Assumptions!$B$58,G$5&lt;Seats!$H$6),0,Assumptions!$B$6*IF((G$5-Seats!$H$6)=0,Assumptions!$B$29,IF((G$5-Seats!$H$6)=1,Assumptions!$B$30,Assumptions!$B$31)))</f>
        <v>13</v>
      </c>
      <c r="H15" s="52" t="n">
        <f aca="false">IF(OR(Seats!$G$6&gt;Assumptions!$B$58,H$5&lt;Seats!$H$6),0,Assumptions!$B$6*IF((H$5-Seats!$H$6)=0,Assumptions!$B$29,IF((H$5-Seats!$H$6)=1,Assumptions!$B$30,Assumptions!$B$31)))</f>
        <v>13</v>
      </c>
      <c r="I15" s="52" t="n">
        <f aca="false">IF(OR(Seats!$G$6&gt;Assumptions!$B$58,I$5&lt;Seats!$H$6),0,Assumptions!$B$6*IF((I$5-Seats!$H$6)=0,Assumptions!$B$29,IF((I$5-Seats!$H$6)=1,Assumptions!$B$30,Assumptions!$B$31)))</f>
        <v>13</v>
      </c>
      <c r="J15" s="52" t="n">
        <f aca="false">IF(OR(Seats!$G$6&gt;Assumptions!$B$58,J$5&lt;Seats!$H$6),0,Assumptions!$B$6*IF((J$5-Seats!$H$6)=0,Assumptions!$B$29,IF((J$5-Seats!$H$6)=1,Assumptions!$B$30,Assumptions!$B$31)))</f>
        <v>13</v>
      </c>
    </row>
    <row r="16" customFormat="false" ht="15" hidden="false" customHeight="false" outlineLevel="0" collapsed="false">
      <c r="A16" s="2" t="str">
        <f aca="false">Seats!A7&amp;". "&amp;Seats!B7&amp;IF(Seats!G7&gt;Assumptions!$B$58," (not in modelled stage)","")</f>
        <v>2. Account Manager, US + Canada (test hire)</v>
      </c>
      <c r="B16" s="52" t="n">
        <f aca="false">IF(OR(Seats!$G$7&gt;Assumptions!$B$58,B$5&lt;Seats!$H$7),0,Assumptions!$B$6*IF((B$5-Seats!$H$7)=0,Assumptions!$B$29,IF((B$5-Seats!$H$7)=1,Assumptions!$B$30,Assumptions!$B$31)))</f>
        <v>0</v>
      </c>
      <c r="C16" s="52" t="n">
        <f aca="false">IF(OR(Seats!$G$7&gt;Assumptions!$B$58,C$5&lt;Seats!$H$7),0,Assumptions!$B$6*IF((C$5-Seats!$H$7)=0,Assumptions!$B$29,IF((C$5-Seats!$H$7)=1,Assumptions!$B$30,Assumptions!$B$31)))</f>
        <v>0</v>
      </c>
      <c r="D16" s="52" t="n">
        <f aca="false">IF(OR(Seats!$G$7&gt;Assumptions!$B$58,D$5&lt;Seats!$H$7),0,Assumptions!$B$6*IF((D$5-Seats!$H$7)=0,Assumptions!$B$29,IF((D$5-Seats!$H$7)=1,Assumptions!$B$30,Assumptions!$B$31)))</f>
        <v>5.2</v>
      </c>
      <c r="E16" s="52" t="n">
        <f aca="false">IF(OR(Seats!$G$7&gt;Assumptions!$B$58,E$5&lt;Seats!$H$7),0,Assumptions!$B$6*IF((E$5-Seats!$H$7)=0,Assumptions!$B$29,IF((E$5-Seats!$H$7)=1,Assumptions!$B$30,Assumptions!$B$31)))</f>
        <v>9.1</v>
      </c>
      <c r="F16" s="52" t="n">
        <f aca="false">IF(OR(Seats!$G$7&gt;Assumptions!$B$58,F$5&lt;Seats!$H$7),0,Assumptions!$B$6*IF((F$5-Seats!$H$7)=0,Assumptions!$B$29,IF((F$5-Seats!$H$7)=1,Assumptions!$B$30,Assumptions!$B$31)))</f>
        <v>13</v>
      </c>
      <c r="G16" s="52" t="n">
        <f aca="false">IF(OR(Seats!$G$7&gt;Assumptions!$B$58,G$5&lt;Seats!$H$7),0,Assumptions!$B$6*IF((G$5-Seats!$H$7)=0,Assumptions!$B$29,IF((G$5-Seats!$H$7)=1,Assumptions!$B$30,Assumptions!$B$31)))</f>
        <v>13</v>
      </c>
      <c r="H16" s="52" t="n">
        <f aca="false">IF(OR(Seats!$G$7&gt;Assumptions!$B$58,H$5&lt;Seats!$H$7),0,Assumptions!$B$6*IF((H$5-Seats!$H$7)=0,Assumptions!$B$29,IF((H$5-Seats!$H$7)=1,Assumptions!$B$30,Assumptions!$B$31)))</f>
        <v>13</v>
      </c>
      <c r="I16" s="52" t="n">
        <f aca="false">IF(OR(Seats!$G$7&gt;Assumptions!$B$58,I$5&lt;Seats!$H$7),0,Assumptions!$B$6*IF((I$5-Seats!$H$7)=0,Assumptions!$B$29,IF((I$5-Seats!$H$7)=1,Assumptions!$B$30,Assumptions!$B$31)))</f>
        <v>13</v>
      </c>
      <c r="J16" s="52" t="n">
        <f aca="false">IF(OR(Seats!$G$7&gt;Assumptions!$B$58,J$5&lt;Seats!$H$7),0,Assumptions!$B$6*IF((J$5-Seats!$H$7)=0,Assumptions!$B$29,IF((J$5-Seats!$H$7)=1,Assumptions!$B$30,Assumptions!$B$31)))</f>
        <v>13</v>
      </c>
    </row>
    <row r="17" customFormat="false" ht="15" hidden="false" customHeight="false" outlineLevel="0" collapsed="false">
      <c r="A17" s="2" t="str">
        <f aca="false">Seats!A8&amp;". "&amp;Seats!B8&amp;IF(Seats!G8&gt;Assumptions!$B$58," (not in modelled stage)","")</f>
        <v>3. Account Manager, SEO and GEO</v>
      </c>
      <c r="B17" s="52" t="n">
        <f aca="false">IF(OR(Seats!$G$8&gt;Assumptions!$B$58,B$5&lt;Seats!$H$8),0,Assumptions!$B$6*IF((B$5-Seats!$H$8)=0,Assumptions!$B$29,IF((B$5-Seats!$H$8)=1,Assumptions!$B$30,Assumptions!$B$31)))</f>
        <v>0</v>
      </c>
      <c r="C17" s="52" t="n">
        <f aca="false">IF(OR(Seats!$G$8&gt;Assumptions!$B$58,C$5&lt;Seats!$H$8),0,Assumptions!$B$6*IF((C$5-Seats!$H$8)=0,Assumptions!$B$29,IF((C$5-Seats!$H$8)=1,Assumptions!$B$30,Assumptions!$B$31)))</f>
        <v>5.2</v>
      </c>
      <c r="D17" s="52" t="n">
        <f aca="false">IF(OR(Seats!$G$8&gt;Assumptions!$B$58,D$5&lt;Seats!$H$8),0,Assumptions!$B$6*IF((D$5-Seats!$H$8)=0,Assumptions!$B$29,IF((D$5-Seats!$H$8)=1,Assumptions!$B$30,Assumptions!$B$31)))</f>
        <v>9.1</v>
      </c>
      <c r="E17" s="52" t="n">
        <f aca="false">IF(OR(Seats!$G$8&gt;Assumptions!$B$58,E$5&lt;Seats!$H$8),0,Assumptions!$B$6*IF((E$5-Seats!$H$8)=0,Assumptions!$B$29,IF((E$5-Seats!$H$8)=1,Assumptions!$B$30,Assumptions!$B$31)))</f>
        <v>13</v>
      </c>
      <c r="F17" s="52" t="n">
        <f aca="false">IF(OR(Seats!$G$8&gt;Assumptions!$B$58,F$5&lt;Seats!$H$8),0,Assumptions!$B$6*IF((F$5-Seats!$H$8)=0,Assumptions!$B$29,IF((F$5-Seats!$H$8)=1,Assumptions!$B$30,Assumptions!$B$31)))</f>
        <v>13</v>
      </c>
      <c r="G17" s="52" t="n">
        <f aca="false">IF(OR(Seats!$G$8&gt;Assumptions!$B$58,G$5&lt;Seats!$H$8),0,Assumptions!$B$6*IF((G$5-Seats!$H$8)=0,Assumptions!$B$29,IF((G$5-Seats!$H$8)=1,Assumptions!$B$30,Assumptions!$B$31)))</f>
        <v>13</v>
      </c>
      <c r="H17" s="52" t="n">
        <f aca="false">IF(OR(Seats!$G$8&gt;Assumptions!$B$58,H$5&lt;Seats!$H$8),0,Assumptions!$B$6*IF((H$5-Seats!$H$8)=0,Assumptions!$B$29,IF((H$5-Seats!$H$8)=1,Assumptions!$B$30,Assumptions!$B$31)))</f>
        <v>13</v>
      </c>
      <c r="I17" s="52" t="n">
        <f aca="false">IF(OR(Seats!$G$8&gt;Assumptions!$B$58,I$5&lt;Seats!$H$8),0,Assumptions!$B$6*IF((I$5-Seats!$H$8)=0,Assumptions!$B$29,IF((I$5-Seats!$H$8)=1,Assumptions!$B$30,Assumptions!$B$31)))</f>
        <v>13</v>
      </c>
      <c r="J17" s="52" t="n">
        <f aca="false">IF(OR(Seats!$G$8&gt;Assumptions!$B$58,J$5&lt;Seats!$H$8),0,Assumptions!$B$6*IF((J$5-Seats!$H$8)=0,Assumptions!$B$29,IF((J$5-Seats!$H$8)=1,Assumptions!$B$30,Assumptions!$B$31)))</f>
        <v>13</v>
      </c>
    </row>
    <row r="18" customFormat="false" ht="15" hidden="false" customHeight="false" outlineLevel="0" collapsed="false">
      <c r="A18" s="2" t="str">
        <f aca="false">Seats!A9&amp;". "&amp;Seats!B9&amp;IF(Seats!G9&gt;Assumptions!$B$58," (not in modelled stage)","")</f>
        <v>4. Account Manager, SEO and GEO</v>
      </c>
      <c r="B18" s="52" t="n">
        <f aca="false">IF(OR(Seats!$G$9&gt;Assumptions!$B$58,B$5&lt;Seats!$H$9),0,Assumptions!$B$6*IF((B$5-Seats!$H$9)=0,Assumptions!$B$29,IF((B$5-Seats!$H$9)=1,Assumptions!$B$30,Assumptions!$B$31)))</f>
        <v>0</v>
      </c>
      <c r="C18" s="52" t="n">
        <f aca="false">IF(OR(Seats!$G$9&gt;Assumptions!$B$58,C$5&lt;Seats!$H$9),0,Assumptions!$B$6*IF((C$5-Seats!$H$9)=0,Assumptions!$B$29,IF((C$5-Seats!$H$9)=1,Assumptions!$B$30,Assumptions!$B$31)))</f>
        <v>0</v>
      </c>
      <c r="D18" s="52" t="n">
        <f aca="false">IF(OR(Seats!$G$9&gt;Assumptions!$B$58,D$5&lt;Seats!$H$9),0,Assumptions!$B$6*IF((D$5-Seats!$H$9)=0,Assumptions!$B$29,IF((D$5-Seats!$H$9)=1,Assumptions!$B$30,Assumptions!$B$31)))</f>
        <v>5.2</v>
      </c>
      <c r="E18" s="52" t="n">
        <f aca="false">IF(OR(Seats!$G$9&gt;Assumptions!$B$58,E$5&lt;Seats!$H$9),0,Assumptions!$B$6*IF((E$5-Seats!$H$9)=0,Assumptions!$B$29,IF((E$5-Seats!$H$9)=1,Assumptions!$B$30,Assumptions!$B$31)))</f>
        <v>9.1</v>
      </c>
      <c r="F18" s="52" t="n">
        <f aca="false">IF(OR(Seats!$G$9&gt;Assumptions!$B$58,F$5&lt;Seats!$H$9),0,Assumptions!$B$6*IF((F$5-Seats!$H$9)=0,Assumptions!$B$29,IF((F$5-Seats!$H$9)=1,Assumptions!$B$30,Assumptions!$B$31)))</f>
        <v>13</v>
      </c>
      <c r="G18" s="52" t="n">
        <f aca="false">IF(OR(Seats!$G$9&gt;Assumptions!$B$58,G$5&lt;Seats!$H$9),0,Assumptions!$B$6*IF((G$5-Seats!$H$9)=0,Assumptions!$B$29,IF((G$5-Seats!$H$9)=1,Assumptions!$B$30,Assumptions!$B$31)))</f>
        <v>13</v>
      </c>
      <c r="H18" s="52" t="n">
        <f aca="false">IF(OR(Seats!$G$9&gt;Assumptions!$B$58,H$5&lt;Seats!$H$9),0,Assumptions!$B$6*IF((H$5-Seats!$H$9)=0,Assumptions!$B$29,IF((H$5-Seats!$H$9)=1,Assumptions!$B$30,Assumptions!$B$31)))</f>
        <v>13</v>
      </c>
      <c r="I18" s="52" t="n">
        <f aca="false">IF(OR(Seats!$G$9&gt;Assumptions!$B$58,I$5&lt;Seats!$H$9),0,Assumptions!$B$6*IF((I$5-Seats!$H$9)=0,Assumptions!$B$29,IF((I$5-Seats!$H$9)=1,Assumptions!$B$30,Assumptions!$B$31)))</f>
        <v>13</v>
      </c>
      <c r="J18" s="52" t="n">
        <f aca="false">IF(OR(Seats!$G$9&gt;Assumptions!$B$58,J$5&lt;Seats!$H$9),0,Assumptions!$B$6*IF((J$5-Seats!$H$9)=0,Assumptions!$B$29,IF((J$5-Seats!$H$9)=1,Assumptions!$B$30,Assumptions!$B$31)))</f>
        <v>13</v>
      </c>
    </row>
    <row r="19" customFormat="false" ht="15" hidden="false" customHeight="false" outlineLevel="0" collapsed="false">
      <c r="A19" s="2" t="str">
        <f aca="false">Seats!A10&amp;". "&amp;Seats!B10&amp;IF(Seats!G10&gt;Assumptions!$B$58," (not in modelled stage)","")</f>
        <v>5. Account Manager, Paid Media and full-service</v>
      </c>
      <c r="B19" s="52" t="n">
        <f aca="false">IF(OR(Seats!$G$10&gt;Assumptions!$B$58,B$5&lt;Seats!$H$10),0,Assumptions!$B$6*IF((B$5-Seats!$H$10)=0,Assumptions!$B$29,IF((B$5-Seats!$H$10)=1,Assumptions!$B$30,Assumptions!$B$31)))</f>
        <v>0</v>
      </c>
      <c r="C19" s="52" t="n">
        <f aca="false">IF(OR(Seats!$G$10&gt;Assumptions!$B$58,C$5&lt;Seats!$H$10),0,Assumptions!$B$6*IF((C$5-Seats!$H$10)=0,Assumptions!$B$29,IF((C$5-Seats!$H$10)=1,Assumptions!$B$30,Assumptions!$B$31)))</f>
        <v>0</v>
      </c>
      <c r="D19" s="52" t="n">
        <f aca="false">IF(OR(Seats!$G$10&gt;Assumptions!$B$58,D$5&lt;Seats!$H$10),0,Assumptions!$B$6*IF((D$5-Seats!$H$10)=0,Assumptions!$B$29,IF((D$5-Seats!$H$10)=1,Assumptions!$B$30,Assumptions!$B$31)))</f>
        <v>5.2</v>
      </c>
      <c r="E19" s="52" t="n">
        <f aca="false">IF(OR(Seats!$G$10&gt;Assumptions!$B$58,E$5&lt;Seats!$H$10),0,Assumptions!$B$6*IF((E$5-Seats!$H$10)=0,Assumptions!$B$29,IF((E$5-Seats!$H$10)=1,Assumptions!$B$30,Assumptions!$B$31)))</f>
        <v>9.1</v>
      </c>
      <c r="F19" s="52" t="n">
        <f aca="false">IF(OR(Seats!$G$10&gt;Assumptions!$B$58,F$5&lt;Seats!$H$10),0,Assumptions!$B$6*IF((F$5-Seats!$H$10)=0,Assumptions!$B$29,IF((F$5-Seats!$H$10)=1,Assumptions!$B$30,Assumptions!$B$31)))</f>
        <v>13</v>
      </c>
      <c r="G19" s="52" t="n">
        <f aca="false">IF(OR(Seats!$G$10&gt;Assumptions!$B$58,G$5&lt;Seats!$H$10),0,Assumptions!$B$6*IF((G$5-Seats!$H$10)=0,Assumptions!$B$29,IF((G$5-Seats!$H$10)=1,Assumptions!$B$30,Assumptions!$B$31)))</f>
        <v>13</v>
      </c>
      <c r="H19" s="52" t="n">
        <f aca="false">IF(OR(Seats!$G$10&gt;Assumptions!$B$58,H$5&lt;Seats!$H$10),0,Assumptions!$B$6*IF((H$5-Seats!$H$10)=0,Assumptions!$B$29,IF((H$5-Seats!$H$10)=1,Assumptions!$B$30,Assumptions!$B$31)))</f>
        <v>13</v>
      </c>
      <c r="I19" s="52" t="n">
        <f aca="false">IF(OR(Seats!$G$10&gt;Assumptions!$B$58,I$5&lt;Seats!$H$10),0,Assumptions!$B$6*IF((I$5-Seats!$H$10)=0,Assumptions!$B$29,IF((I$5-Seats!$H$10)=1,Assumptions!$B$30,Assumptions!$B$31)))</f>
        <v>13</v>
      </c>
      <c r="J19" s="52" t="n">
        <f aca="false">IF(OR(Seats!$G$10&gt;Assumptions!$B$58,J$5&lt;Seats!$H$10),0,Assumptions!$B$6*IF((J$5-Seats!$H$10)=0,Assumptions!$B$29,IF((J$5-Seats!$H$10)=1,Assumptions!$B$30,Assumptions!$B$31)))</f>
        <v>13</v>
      </c>
    </row>
    <row r="20" customFormat="false" ht="15" hidden="false" customHeight="false" outlineLevel="0" collapsed="false">
      <c r="A20" s="2" t="str">
        <f aca="false">Seats!A11&amp;". "&amp;Seats!B11&amp;IF(Seats!G11&gt;Assumptions!$B$58," (not in modelled stage)","")</f>
        <v>6. Account Manager, US + Canada (EST shift)</v>
      </c>
      <c r="B20" s="52" t="n">
        <f aca="false">IF(OR(Seats!$G$11&gt;Assumptions!$B$58,B$5&lt;Seats!$H$11),0,Assumptions!$B$6*IF((B$5-Seats!$H$11)=0,Assumptions!$B$29,IF((B$5-Seats!$H$11)=1,Assumptions!$B$30,Assumptions!$B$31)))</f>
        <v>0</v>
      </c>
      <c r="C20" s="52" t="n">
        <f aca="false">IF(OR(Seats!$G$11&gt;Assumptions!$B$58,C$5&lt;Seats!$H$11),0,Assumptions!$B$6*IF((C$5-Seats!$H$11)=0,Assumptions!$B$29,IF((C$5-Seats!$H$11)=1,Assumptions!$B$30,Assumptions!$B$31)))</f>
        <v>0</v>
      </c>
      <c r="D20" s="52" t="n">
        <f aca="false">IF(OR(Seats!$G$11&gt;Assumptions!$B$58,D$5&lt;Seats!$H$11),0,Assumptions!$B$6*IF((D$5-Seats!$H$11)=0,Assumptions!$B$29,IF((D$5-Seats!$H$11)=1,Assumptions!$B$30,Assumptions!$B$31)))</f>
        <v>0</v>
      </c>
      <c r="E20" s="52" t="n">
        <f aca="false">IF(OR(Seats!$G$11&gt;Assumptions!$B$58,E$5&lt;Seats!$H$11),0,Assumptions!$B$6*IF((E$5-Seats!$H$11)=0,Assumptions!$B$29,IF((E$5-Seats!$H$11)=1,Assumptions!$B$30,Assumptions!$B$31)))</f>
        <v>5.2</v>
      </c>
      <c r="F20" s="52" t="n">
        <f aca="false">IF(OR(Seats!$G$11&gt;Assumptions!$B$58,F$5&lt;Seats!$H$11),0,Assumptions!$B$6*IF((F$5-Seats!$H$11)=0,Assumptions!$B$29,IF((F$5-Seats!$H$11)=1,Assumptions!$B$30,Assumptions!$B$31)))</f>
        <v>9.1</v>
      </c>
      <c r="G20" s="52" t="n">
        <f aca="false">IF(OR(Seats!$G$11&gt;Assumptions!$B$58,G$5&lt;Seats!$H$11),0,Assumptions!$B$6*IF((G$5-Seats!$H$11)=0,Assumptions!$B$29,IF((G$5-Seats!$H$11)=1,Assumptions!$B$30,Assumptions!$B$31)))</f>
        <v>13</v>
      </c>
      <c r="H20" s="52" t="n">
        <f aca="false">IF(OR(Seats!$G$11&gt;Assumptions!$B$58,H$5&lt;Seats!$H$11),0,Assumptions!$B$6*IF((H$5-Seats!$H$11)=0,Assumptions!$B$29,IF((H$5-Seats!$H$11)=1,Assumptions!$B$30,Assumptions!$B$31)))</f>
        <v>13</v>
      </c>
      <c r="I20" s="52" t="n">
        <f aca="false">IF(OR(Seats!$G$11&gt;Assumptions!$B$58,I$5&lt;Seats!$H$11),0,Assumptions!$B$6*IF((I$5-Seats!$H$11)=0,Assumptions!$B$29,IF((I$5-Seats!$H$11)=1,Assumptions!$B$30,Assumptions!$B$31)))</f>
        <v>13</v>
      </c>
      <c r="J20" s="52" t="n">
        <f aca="false">IF(OR(Seats!$G$11&gt;Assumptions!$B$58,J$5&lt;Seats!$H$11),0,Assumptions!$B$6*IF((J$5-Seats!$H$11)=0,Assumptions!$B$29,IF((J$5-Seats!$H$11)=1,Assumptions!$B$30,Assumptions!$B$31)))</f>
        <v>13</v>
      </c>
    </row>
    <row r="21" customFormat="false" ht="15" hidden="false" customHeight="false" outlineLevel="0" collapsed="false">
      <c r="A21" s="2" t="str">
        <f aca="false">Seats!A12&amp;". "&amp;Seats!B12&amp;IF(Seats!G12&gt;Assumptions!$B$58," (not in modelled stage)","")</f>
        <v>7. Account Manager, India + RoW (paid or SEO, whichever book fills first)</v>
      </c>
      <c r="B21" s="52" t="n">
        <f aca="false">IF(OR(Seats!$G$12&gt;Assumptions!$B$58,B$5&lt;Seats!$H$12),0,Assumptions!$B$6*IF((B$5-Seats!$H$12)=0,Assumptions!$B$29,IF((B$5-Seats!$H$12)=1,Assumptions!$B$30,Assumptions!$B$31)))</f>
        <v>0</v>
      </c>
      <c r="C21" s="52" t="n">
        <f aca="false">IF(OR(Seats!$G$12&gt;Assumptions!$B$58,C$5&lt;Seats!$H$12),0,Assumptions!$B$6*IF((C$5-Seats!$H$12)=0,Assumptions!$B$29,IF((C$5-Seats!$H$12)=1,Assumptions!$B$30,Assumptions!$B$31)))</f>
        <v>0</v>
      </c>
      <c r="D21" s="52" t="n">
        <f aca="false">IF(OR(Seats!$G$12&gt;Assumptions!$B$58,D$5&lt;Seats!$H$12),0,Assumptions!$B$6*IF((D$5-Seats!$H$12)=0,Assumptions!$B$29,IF((D$5-Seats!$H$12)=1,Assumptions!$B$30,Assumptions!$B$31)))</f>
        <v>0</v>
      </c>
      <c r="E21" s="52" t="n">
        <f aca="false">IF(OR(Seats!$G$12&gt;Assumptions!$B$58,E$5&lt;Seats!$H$12),0,Assumptions!$B$6*IF((E$5-Seats!$H$12)=0,Assumptions!$B$29,IF((E$5-Seats!$H$12)=1,Assumptions!$B$30,Assumptions!$B$31)))</f>
        <v>5.2</v>
      </c>
      <c r="F21" s="52" t="n">
        <f aca="false">IF(OR(Seats!$G$12&gt;Assumptions!$B$58,F$5&lt;Seats!$H$12),0,Assumptions!$B$6*IF((F$5-Seats!$H$12)=0,Assumptions!$B$29,IF((F$5-Seats!$H$12)=1,Assumptions!$B$30,Assumptions!$B$31)))</f>
        <v>9.1</v>
      </c>
      <c r="G21" s="52" t="n">
        <f aca="false">IF(OR(Seats!$G$12&gt;Assumptions!$B$58,G$5&lt;Seats!$H$12),0,Assumptions!$B$6*IF((G$5-Seats!$H$12)=0,Assumptions!$B$29,IF((G$5-Seats!$H$12)=1,Assumptions!$B$30,Assumptions!$B$31)))</f>
        <v>13</v>
      </c>
      <c r="H21" s="52" t="n">
        <f aca="false">IF(OR(Seats!$G$12&gt;Assumptions!$B$58,H$5&lt;Seats!$H$12),0,Assumptions!$B$6*IF((H$5-Seats!$H$12)=0,Assumptions!$B$29,IF((H$5-Seats!$H$12)=1,Assumptions!$B$30,Assumptions!$B$31)))</f>
        <v>13</v>
      </c>
      <c r="I21" s="52" t="n">
        <f aca="false">IF(OR(Seats!$G$12&gt;Assumptions!$B$58,I$5&lt;Seats!$H$12),0,Assumptions!$B$6*IF((I$5-Seats!$H$12)=0,Assumptions!$B$29,IF((I$5-Seats!$H$12)=1,Assumptions!$B$30,Assumptions!$B$31)))</f>
        <v>13</v>
      </c>
      <c r="J21" s="52" t="n">
        <f aca="false">IF(OR(Seats!$G$12&gt;Assumptions!$B$58,J$5&lt;Seats!$H$12),0,Assumptions!$B$6*IF((J$5-Seats!$H$12)=0,Assumptions!$B$29,IF((J$5-Seats!$H$12)=1,Assumptions!$B$30,Assumptions!$B$31)))</f>
        <v>13</v>
      </c>
    </row>
    <row r="22" customFormat="false" ht="15" hidden="false" customHeight="false" outlineLevel="0" collapsed="false">
      <c r="A22" s="15" t="s">
        <v>291</v>
      </c>
      <c r="B22" s="16"/>
      <c r="C22" s="16"/>
      <c r="D22" s="16"/>
      <c r="E22" s="16"/>
      <c r="F22" s="16"/>
      <c r="G22" s="16"/>
      <c r="H22" s="16"/>
      <c r="I22" s="16"/>
      <c r="J22" s="16"/>
    </row>
    <row r="23" customFormat="false" ht="15" hidden="false" customHeight="false" outlineLevel="0" collapsed="false">
      <c r="A23" s="5" t="s">
        <v>360</v>
      </c>
      <c r="B23" s="43" t="n">
        <f aca="false">SUM(B14:B21)</f>
        <v>6</v>
      </c>
      <c r="C23" s="43" t="n">
        <f aca="false">SUM(C14:C21)</f>
        <v>16.4</v>
      </c>
      <c r="D23" s="43" t="n">
        <f aca="false">SUM(D14:D21)</f>
        <v>39.8</v>
      </c>
      <c r="E23" s="43" t="n">
        <f aca="false">SUM(E14:E21)</f>
        <v>69.7</v>
      </c>
      <c r="F23" s="43" t="n">
        <f aca="false">SUM(F14:F21)</f>
        <v>89.2</v>
      </c>
      <c r="G23" s="43" t="n">
        <f aca="false">SUM(G14:G21)</f>
        <v>97</v>
      </c>
      <c r="H23" s="43" t="n">
        <f aca="false">SUM(H14:H21)</f>
        <v>97</v>
      </c>
      <c r="I23" s="43" t="n">
        <f aca="false">SUM(I14:I21)</f>
        <v>97</v>
      </c>
      <c r="J23" s="43" t="n">
        <f aca="false">SUM(J14:J21)</f>
        <v>97</v>
      </c>
    </row>
    <row r="24" customFormat="false" ht="15" hidden="false" customHeight="false" outlineLevel="0" collapsed="false">
      <c r="A24" s="5" t="s">
        <v>361</v>
      </c>
      <c r="B24" s="43" t="n">
        <f aca="false">B11-B23</f>
        <v>72.9948630136986</v>
      </c>
      <c r="C24" s="43" t="n">
        <f aca="false">C11-C23</f>
        <v>79.8397260273973</v>
      </c>
      <c r="D24" s="43" t="n">
        <f aca="false">D11-D23</f>
        <v>55.7239726027397</v>
      </c>
      <c r="E24" s="43" t="n">
        <f aca="false">E11-E23</f>
        <v>25.1082191780822</v>
      </c>
      <c r="F24" s="43" t="n">
        <f aca="false">F11-F23</f>
        <v>8.99178082191781</v>
      </c>
      <c r="G24" s="43" t="n">
        <f aca="false">G11-G23</f>
        <v>4.57534246575342</v>
      </c>
      <c r="H24" s="43" t="n">
        <f aca="false">H11-H23</f>
        <v>7.95890410958904</v>
      </c>
      <c r="I24" s="43" t="n">
        <f aca="false">I11-I23</f>
        <v>11.3424657534246</v>
      </c>
      <c r="J24" s="43" t="n">
        <f aca="false">J11-J23</f>
        <v>14.7260273972603</v>
      </c>
    </row>
    <row r="25" customFormat="false" ht="15" hidden="false" customHeight="false" outlineLevel="0" collapsed="false">
      <c r="A25" s="9" t="s">
        <v>362</v>
      </c>
      <c r="B25" s="60" t="n">
        <f aca="false">IF(B11=0,0,MIN(1,B23/B11))</f>
        <v>0.0759543060282228</v>
      </c>
      <c r="C25" s="60" t="n">
        <f aca="false">IF(C11=0,0,MIN(1,C23/C11))</f>
        <v>0.170407800156572</v>
      </c>
      <c r="D25" s="60" t="n">
        <f aca="false">IF(D11=0,0,MIN(1,D23/D11))</f>
        <v>0.416649338543721</v>
      </c>
      <c r="E25" s="60" t="n">
        <f aca="false">IF(E11=0,0,MIN(1,E23/E11))</f>
        <v>0.735168328276261</v>
      </c>
      <c r="F25" s="60" t="n">
        <f aca="false">IF(F11=0,0,MIN(1,F23/F11))</f>
        <v>0.908426339285714</v>
      </c>
      <c r="G25" s="60" t="n">
        <f aca="false">IF(G11=0,0,MIN(1,G23/G11))</f>
        <v>0.954956169925826</v>
      </c>
      <c r="H25" s="60" t="n">
        <f aca="false">IF(H11=0,0,MIN(1,H23/H11))</f>
        <v>0.924171234664578</v>
      </c>
      <c r="I25" s="60" t="n">
        <f aca="false">IF(I11=0,0,MIN(1,I23/I11))</f>
        <v>0.895309141484385</v>
      </c>
      <c r="J25" s="60" t="n">
        <f aca="false">IF(J11=0,0,MIN(1,J23/J11))</f>
        <v>0.868195193722413</v>
      </c>
    </row>
    <row r="26" customFormat="false" ht="15" hidden="false" customHeight="false" outlineLevel="0" collapsed="false">
      <c r="A26" s="5" t="s">
        <v>363</v>
      </c>
      <c r="B26" s="27" t="n">
        <f aca="false">COUNTIFS(Seats!$H$6:$H$12,"&lt;="&amp;B$5,Seats!$G$6:$G$12,"&lt;="&amp;Assumptions!$B$58)</f>
        <v>0</v>
      </c>
      <c r="C26" s="27" t="n">
        <f aca="false">COUNTIFS(Seats!$H$6:$H$12,"&lt;="&amp;C$5,Seats!$G$6:$G$12,"&lt;="&amp;Assumptions!$B$58)</f>
        <v>2</v>
      </c>
      <c r="D26" s="27" t="n">
        <f aca="false">COUNTIFS(Seats!$H$6:$H$12,"&lt;="&amp;D$5,Seats!$G$6:$G$12,"&lt;="&amp;Assumptions!$B$58)</f>
        <v>5</v>
      </c>
      <c r="E26" s="27" t="n">
        <f aca="false">COUNTIFS(Seats!$H$6:$H$12,"&lt;="&amp;E$5,Seats!$G$6:$G$12,"&lt;="&amp;Assumptions!$B$58)</f>
        <v>7</v>
      </c>
      <c r="F26" s="27" t="n">
        <f aca="false">COUNTIFS(Seats!$H$6:$H$12,"&lt;="&amp;F$5,Seats!$G$6:$G$12,"&lt;="&amp;Assumptions!$B$58)</f>
        <v>7</v>
      </c>
      <c r="G26" s="27" t="n">
        <f aca="false">COUNTIFS(Seats!$H$6:$H$12,"&lt;="&amp;G$5,Seats!$G$6:$G$12,"&lt;="&amp;Assumptions!$B$58)</f>
        <v>7</v>
      </c>
      <c r="H26" s="27" t="n">
        <f aca="false">COUNTIFS(Seats!$H$6:$H$12,"&lt;="&amp;H$5,Seats!$G$6:$G$12,"&lt;="&amp;Assumptions!$B$58)</f>
        <v>7</v>
      </c>
      <c r="I26" s="27" t="n">
        <f aca="false">COUNTIFS(Seats!$H$6:$H$12,"&lt;="&amp;I$5,Seats!$G$6:$G$12,"&lt;="&amp;Assumptions!$B$58)</f>
        <v>7</v>
      </c>
      <c r="J26" s="27" t="n">
        <f aca="false">COUNTIFS(Seats!$H$6:$H$12,"&lt;="&amp;J$5,Seats!$G$6:$G$12,"&lt;="&amp;Assumptions!$B$58)</f>
        <v>7</v>
      </c>
    </row>
    <row r="27" customFormat="false" ht="15" hidden="false" customHeight="false" outlineLevel="0" collapsed="false">
      <c r="A27" s="5" t="s">
        <v>364</v>
      </c>
      <c r="B27" s="27" t="n">
        <f aca="false">ROUNDUP(MAX(0,B11-Assumptions!$B$15)/Assumptions!$B$6,0)</f>
        <v>6</v>
      </c>
      <c r="C27" s="27" t="n">
        <f aca="false">ROUNDUP(MAX(0,C11-Assumptions!$B$15)/Assumptions!$B$6,0)</f>
        <v>7</v>
      </c>
      <c r="D27" s="27" t="n">
        <f aca="false">ROUNDUP(MAX(0,D11-Assumptions!$B$15)/Assumptions!$B$6,0)</f>
        <v>7</v>
      </c>
      <c r="E27" s="27" t="n">
        <f aca="false">ROUNDUP(MAX(0,E11-Assumptions!$B$15)/Assumptions!$B$6,0)</f>
        <v>7</v>
      </c>
      <c r="F27" s="27" t="n">
        <f aca="false">ROUNDUP(MAX(0,F11-Assumptions!$B$15)/Assumptions!$B$6,0)</f>
        <v>8</v>
      </c>
      <c r="G27" s="27" t="n">
        <f aca="false">ROUNDUP(MAX(0,G11-Assumptions!$B$15)/Assumptions!$B$6,0)</f>
        <v>8</v>
      </c>
      <c r="H27" s="27" t="n">
        <f aca="false">ROUNDUP(MAX(0,H11-Assumptions!$B$15)/Assumptions!$B$6,0)</f>
        <v>8</v>
      </c>
      <c r="I27" s="27" t="n">
        <f aca="false">ROUNDUP(MAX(0,I11-Assumptions!$B$15)/Assumptions!$B$6,0)</f>
        <v>8</v>
      </c>
      <c r="J27" s="27" t="n">
        <f aca="false">ROUNDUP(MAX(0,J11-Assumptions!$B$15)/Assumptions!$B$6,0)</f>
        <v>9</v>
      </c>
    </row>
    <row r="28" customFormat="false" ht="15" hidden="false" customHeight="false" outlineLevel="0" collapsed="false">
      <c r="A28" s="5" t="s">
        <v>365</v>
      </c>
      <c r="B28" s="37" t="n">
        <f aca="false">SUMPRODUCT((Seats!$H$5:$H$12&lt;=B$5)*(Seats!$G$5:$G$12&lt;=Assumptions!$B$58)*Seats!$M$5:$M$12)</f>
        <v>0</v>
      </c>
      <c r="C28" s="37" t="n">
        <f aca="false">SUMPRODUCT((Seats!$H$5:$H$12&lt;=C$5)*(Seats!$G$5:$G$12&lt;=Assumptions!$B$58)*Seats!$M$5:$M$12)</f>
        <v>4609.92907801419</v>
      </c>
      <c r="D28" s="37" t="n">
        <f aca="false">SUMPRODUCT((Seats!$H$5:$H$12&lt;=D$5)*(Seats!$G$5:$G$12&lt;=Assumptions!$B$58)*Seats!$M$5:$M$12)</f>
        <v>15983.143180183</v>
      </c>
      <c r="E28" s="37" t="n">
        <f aca="false">SUMPRODUCT((Seats!$H$5:$H$12&lt;=E$5)*(Seats!$G$5:$G$12&lt;=Assumptions!$B$58)*Seats!$M$5:$M$12)</f>
        <v>20593.0722581971</v>
      </c>
      <c r="F28" s="37" t="n">
        <f aca="false">SUMPRODUCT((Seats!$H$5:$H$12&lt;=F$5)*(Seats!$G$5:$G$12&lt;=Assumptions!$B$58)*Seats!$M$5:$M$12)</f>
        <v>20593.0722581971</v>
      </c>
      <c r="G28" s="37" t="n">
        <f aca="false">SUMPRODUCT((Seats!$H$5:$H$12&lt;=G$5)*(Seats!$G$5:$G$12&lt;=Assumptions!$B$58)*Seats!$M$5:$M$12)</f>
        <v>20593.0722581971</v>
      </c>
      <c r="H28" s="37" t="n">
        <f aca="false">SUMPRODUCT((Seats!$H$5:$H$12&lt;=H$5)*(Seats!$G$5:$G$12&lt;=Assumptions!$B$58)*Seats!$M$5:$M$12)</f>
        <v>20593.0722581971</v>
      </c>
      <c r="I28" s="37" t="n">
        <f aca="false">SUMPRODUCT((Seats!$H$5:$H$12&lt;=I$5)*(Seats!$G$5:$G$12&lt;=Assumptions!$B$58)*Seats!$M$5:$M$12)</f>
        <v>20593.0722581971</v>
      </c>
      <c r="J28" s="37" t="n">
        <f aca="false">SUMPRODUCT((Seats!$H$5:$H$12&lt;=J$5)*(Seats!$G$5:$G$12&lt;=Assumptions!$B$58)*Seats!$M$5:$M$12)</f>
        <v>20593.0722581971</v>
      </c>
    </row>
    <row r="29" customFormat="false" ht="15" hidden="false" customHeight="false" outlineLevel="0" collapsed="false">
      <c r="A29" s="2" t="s">
        <v>366</v>
      </c>
      <c r="B29" s="56" t="n">
        <f aca="false">B28</f>
        <v>0</v>
      </c>
      <c r="C29" s="56" t="n">
        <f aca="false">B29+C28</f>
        <v>4609.92907801419</v>
      </c>
      <c r="D29" s="56" t="n">
        <f aca="false">C29+D28</f>
        <v>20593.0722581971</v>
      </c>
      <c r="E29" s="56" t="n">
        <f aca="false">D29+E28</f>
        <v>41186.1445163943</v>
      </c>
      <c r="F29" s="56" t="n">
        <f aca="false">E29+F28</f>
        <v>61779.2167745914</v>
      </c>
      <c r="G29" s="56" t="n">
        <f aca="false">F29+G28</f>
        <v>82372.2890327886</v>
      </c>
      <c r="H29" s="56" t="n">
        <f aca="false">G29+H28</f>
        <v>102965.361290986</v>
      </c>
      <c r="I29" s="56" t="n">
        <f aca="false">H29+I28</f>
        <v>123558.433549183</v>
      </c>
      <c r="J29" s="56" t="n">
        <f aca="false">I29+J28</f>
        <v>144151.50580738</v>
      </c>
    </row>
    <row r="30" customFormat="false" ht="15" hidden="false" customHeight="false" outlineLevel="0" collapsed="false">
      <c r="A30" s="2"/>
      <c r="B30" s="2"/>
      <c r="C30" s="2"/>
      <c r="D30" s="2"/>
      <c r="E30" s="2"/>
      <c r="F30" s="2"/>
      <c r="G30" s="2"/>
      <c r="H30" s="2"/>
      <c r="I30" s="2"/>
      <c r="J30" s="2"/>
    </row>
    <row r="31" customFormat="false" ht="15" hidden="false" customHeight="false" outlineLevel="0" collapsed="false">
      <c r="A31" s="3" t="s">
        <v>367</v>
      </c>
      <c r="B31" s="2"/>
      <c r="C31" s="2"/>
      <c r="D31" s="2"/>
      <c r="E31" s="2"/>
      <c r="F31" s="2"/>
      <c r="G31" s="2"/>
      <c r="H31" s="2"/>
      <c r="I31" s="2"/>
      <c r="J3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80"/>
  </cols>
  <sheetData>
    <row r="1" customFormat="false" ht="17.35" hidden="false" customHeight="false" outlineLevel="0" collapsed="false">
      <c r="A1" s="1" t="s">
        <v>368</v>
      </c>
      <c r="B1" s="2"/>
      <c r="C1" s="2"/>
    </row>
    <row r="2" customFormat="false" ht="15" hidden="false" customHeight="false" outlineLevel="0" collapsed="false">
      <c r="A2" s="3" t="s">
        <v>369</v>
      </c>
      <c r="B2" s="2"/>
      <c r="C2" s="2"/>
    </row>
    <row r="3" customFormat="false" ht="15" hidden="false" customHeight="false" outlineLevel="0" collapsed="false">
      <c r="A3" s="2"/>
      <c r="B3" s="2"/>
      <c r="C3" s="2"/>
    </row>
    <row r="4" customFormat="false" ht="15" hidden="false" customHeight="false" outlineLevel="0" collapsed="false">
      <c r="A4" s="4" t="s">
        <v>370</v>
      </c>
      <c r="B4" s="4" t="s">
        <v>371</v>
      </c>
      <c r="C4" s="4" t="s">
        <v>372</v>
      </c>
    </row>
    <row r="5" customFormat="false" ht="15" hidden="false" customHeight="false" outlineLevel="0" collapsed="false">
      <c r="A5" s="2" t="s">
        <v>373</v>
      </c>
      <c r="B5" s="8" t="n">
        <f aca="false">Assumptions!$B$6</f>
        <v>13</v>
      </c>
      <c r="C5" s="2" t="s">
        <v>374</v>
      </c>
    </row>
    <row r="6" customFormat="false" ht="15" hidden="false" customHeight="false" outlineLevel="0" collapsed="false">
      <c r="A6" s="2" t="s">
        <v>112</v>
      </c>
      <c r="B6" s="11" t="n">
        <f aca="false">Assumptions!$B$48</f>
        <v>0.94</v>
      </c>
      <c r="C6" s="2" t="s">
        <v>375</v>
      </c>
    </row>
    <row r="7" customFormat="false" ht="15" hidden="false" customHeight="false" outlineLevel="0" collapsed="false">
      <c r="A7" s="2" t="s">
        <v>110</v>
      </c>
      <c r="B7" s="12" t="n">
        <f aca="false">Assumptions!$B$47</f>
        <v>6000</v>
      </c>
      <c r="C7" s="2" t="s">
        <v>376</v>
      </c>
    </row>
    <row r="8" customFormat="false" ht="15" hidden="false" customHeight="false" outlineLevel="0" collapsed="false">
      <c r="A8" s="2" t="s">
        <v>114</v>
      </c>
      <c r="B8" s="8" t="n">
        <f aca="false">Assumptions!$B$49</f>
        <v>8.5</v>
      </c>
      <c r="C8" s="2" t="s">
        <v>377</v>
      </c>
    </row>
    <row r="9" customFormat="false" ht="15" hidden="false" customHeight="false" outlineLevel="0" collapsed="false">
      <c r="A9" s="2" t="s">
        <v>378</v>
      </c>
      <c r="B9" s="6" t="n">
        <f aca="false">Assumptions!$B$50</f>
        <v>2</v>
      </c>
      <c r="C9" s="2" t="s">
        <v>379</v>
      </c>
    </row>
    <row r="10" customFormat="false" ht="15" hidden="false" customHeight="false" outlineLevel="0" collapsed="false">
      <c r="A10" s="2" t="s">
        <v>380</v>
      </c>
      <c r="B10" s="29" t="n">
        <v>1</v>
      </c>
      <c r="C10" s="2" t="s">
        <v>381</v>
      </c>
    </row>
    <row r="11" customFormat="false" ht="15" hidden="false" customHeight="false" outlineLevel="0" collapsed="false">
      <c r="A11" s="2"/>
      <c r="B11" s="2"/>
      <c r="C11" s="2"/>
    </row>
    <row r="12" customFormat="false" ht="15" hidden="false" customHeight="false" outlineLevel="0" collapsed="false">
      <c r="A12" s="15" t="s">
        <v>382</v>
      </c>
      <c r="B12" s="16"/>
      <c r="C12" s="16"/>
    </row>
    <row r="13" customFormat="false" ht="15" hidden="false" customHeight="false" outlineLevel="0" collapsed="false">
      <c r="A13" s="2" t="s">
        <v>383</v>
      </c>
      <c r="B13" s="57" t="n">
        <f aca="false">Assumptions!$B$39</f>
        <v>10</v>
      </c>
      <c r="C13" s="2"/>
    </row>
    <row r="14" customFormat="false" ht="15" hidden="false" customHeight="false" outlineLevel="0" collapsed="false">
      <c r="A14" s="2" t="s">
        <v>384</v>
      </c>
      <c r="B14" s="57" t="n">
        <f aca="false">B13/4</f>
        <v>2.5</v>
      </c>
      <c r="C14" s="2"/>
    </row>
    <row r="15" customFormat="false" ht="15" hidden="false" customHeight="false" outlineLevel="0" collapsed="false">
      <c r="A15" s="2" t="s">
        <v>385</v>
      </c>
      <c r="B15" s="57" t="n">
        <f aca="false">B14*Assumptions!$B$52</f>
        <v>1</v>
      </c>
      <c r="C15" s="2"/>
    </row>
    <row r="16" customFormat="false" ht="15" hidden="false" customHeight="false" outlineLevel="0" collapsed="false">
      <c r="A16" s="2" t="s">
        <v>386</v>
      </c>
      <c r="B16" s="57" t="n">
        <f aca="false">B14*Assumptions!$B$53</f>
        <v>1</v>
      </c>
      <c r="C16" s="2"/>
    </row>
    <row r="17" customFormat="false" ht="15" hidden="false" customHeight="false" outlineLevel="0" collapsed="false">
      <c r="A17" s="2" t="s">
        <v>387</v>
      </c>
      <c r="B17" s="57" t="n">
        <f aca="false">B14*Assumptions!$B$54</f>
        <v>0.5</v>
      </c>
      <c r="C17" s="2"/>
    </row>
    <row r="18" customFormat="false" ht="15" hidden="false" customHeight="false" outlineLevel="0" collapsed="false">
      <c r="A18" s="2"/>
      <c r="B18" s="2"/>
      <c r="C18" s="2"/>
    </row>
    <row r="19" customFormat="false" ht="15" hidden="false" customHeight="false" outlineLevel="0" collapsed="false">
      <c r="A19" s="15" t="s">
        <v>388</v>
      </c>
      <c r="B19" s="16"/>
      <c r="C19" s="16"/>
    </row>
    <row r="20" customFormat="false" ht="15" hidden="false" customHeight="false" outlineLevel="0" collapsed="false">
      <c r="A20" s="2" t="s">
        <v>389</v>
      </c>
      <c r="B20" s="26" t="n">
        <v>0.95</v>
      </c>
      <c r="C20" s="2"/>
    </row>
    <row r="21" customFormat="false" ht="15" hidden="false" customHeight="false" outlineLevel="0" collapsed="false">
      <c r="A21" s="2" t="s">
        <v>390</v>
      </c>
      <c r="B21" s="23" t="n">
        <v>7500</v>
      </c>
      <c r="C21" s="2"/>
    </row>
    <row r="22" customFormat="false" ht="15" hidden="false" customHeight="false" outlineLevel="0" collapsed="false">
      <c r="A22" s="2" t="s">
        <v>391</v>
      </c>
      <c r="B22" s="17" t="n">
        <v>8.7</v>
      </c>
      <c r="C22" s="2"/>
    </row>
    <row r="23" customFormat="false" ht="15" hidden="false" customHeight="false" outlineLevel="0" collapsed="false">
      <c r="A23" s="2" t="s">
        <v>392</v>
      </c>
      <c r="B23" s="26" t="n">
        <v>0.95</v>
      </c>
      <c r="C23" s="2"/>
    </row>
    <row r="24" customFormat="false" ht="15" hidden="false" customHeight="false" outlineLevel="0" collapsed="false">
      <c r="A24" s="2"/>
      <c r="B24" s="2"/>
      <c r="C24" s="2"/>
    </row>
    <row r="25" customFormat="false" ht="15" hidden="false" customHeight="false" outlineLevel="0" collapsed="false">
      <c r="A25" s="5" t="s">
        <v>393</v>
      </c>
      <c r="B25" s="48" t="n">
        <f aca="false">IF(B20&lt;Assumptions!$B$55,0,IF(B20&gt;=B6,1,0.5+0.5*(B20-Assumptions!$B$55)/(B6-Assumptions!$B$55)))</f>
        <v>1</v>
      </c>
      <c r="C25" s="2" t="s">
        <v>394</v>
      </c>
    </row>
    <row r="26" customFormat="false" ht="15" hidden="false" customHeight="false" outlineLevel="0" collapsed="false">
      <c r="A26" s="5" t="s">
        <v>395</v>
      </c>
      <c r="B26" s="48" t="n">
        <f aca="false">MIN(Assumptions!$B$56,IF(B7=0,0,B21/B7))</f>
        <v>1.25</v>
      </c>
      <c r="C26" s="2" t="s">
        <v>396</v>
      </c>
    </row>
    <row r="27" customFormat="false" ht="15" hidden="false" customHeight="false" outlineLevel="0" collapsed="false">
      <c r="A27" s="5" t="s">
        <v>397</v>
      </c>
      <c r="B27" s="48" t="n">
        <f aca="false">IF(B22&gt;=B8,1,0.5)*MIN(1,B23/B10)</f>
        <v>0.95</v>
      </c>
      <c r="C27" s="2" t="s">
        <v>398</v>
      </c>
    </row>
    <row r="28" customFormat="false" ht="15" hidden="false" customHeight="false" outlineLevel="0" collapsed="false">
      <c r="A28" s="9" t="s">
        <v>399</v>
      </c>
      <c r="B28" s="61" t="n">
        <f aca="false">B15*B25+B16*B26+B17*B27</f>
        <v>2.725</v>
      </c>
      <c r="C28" s="2"/>
    </row>
    <row r="29" customFormat="false" ht="15" hidden="false" customHeight="false" outlineLevel="0" collapsed="false">
      <c r="A29" s="5" t="s">
        <v>400</v>
      </c>
      <c r="B29" s="48" t="n">
        <f aca="false">IF(B14=0,0,B28/B14)</f>
        <v>1.09</v>
      </c>
      <c r="C29" s="2"/>
    </row>
    <row r="30" customFormat="false" ht="15" hidden="false" customHeight="false" outlineLevel="0" collapsed="false">
      <c r="A30" s="2"/>
      <c r="B30" s="2"/>
      <c r="C30" s="2"/>
    </row>
    <row r="31" customFormat="false" ht="15" hidden="false" customHeight="false" outlineLevel="0" collapsed="false">
      <c r="A31" s="3" t="s">
        <v>401</v>
      </c>
      <c r="B31" s="2"/>
      <c r="C3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2026-10-21T20:10:21Z</dcterms:created>
  <dc:creator>openpyxl</dc:creator>
  <dc:description/>
  <dc:language>en-US</dc:language>
  <cp:lastModifiedBy/>
  <dcterms:modified xsi:type="dcterms:W3CDTF">2026-10-21T20:10:21Z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
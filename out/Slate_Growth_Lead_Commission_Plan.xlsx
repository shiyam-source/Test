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It Works" sheetId="1" state="visible" r:id="rId3"/>
    <sheet name="Inputs" sheetId="2" state="visible" r:id="rId4"/>
    <sheet name="Scenario Matrix" sheetId="3" state="visible" r:id="rId5"/>
    <sheet name="Deal Log" sheetId="4" state="visible" r:id="rId6"/>
    <sheet name="Monthly Scorecard" sheetId="5" state="visible" r:id="rId7"/>
    <sheet name="Benchmar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Enterprise is custom-priced; $4,000/mo is an illustrative example. Change to test other deal sizes.</t>
        </r>
      </text>
    </comment>
  </commentList>
</comments>
</file>

<file path=xl/sharedStrings.xml><?xml version="1.0" encoding="utf-8"?>
<sst xmlns="http://schemas.openxmlformats.org/spreadsheetml/2006/main" count="272" uniqueCount="200">
  <si>
    <t xml:space="preserve">Slate – Growth Lead Commission Plan (draft for brainstorming)</t>
  </si>
  <si>
    <t xml:space="preserve">THE FORMULA (one line)</t>
  </si>
  <si>
    <t xml:space="preserve">Commission per deal  =  Year-1 ACV  ×  Base rate (deal size × lead source)  ×  Contract/payment multiplier</t>
  </si>
  <si>
    <t xml:space="preserve">Monthly payout       =  Sum of deal commissions in the month  ×  Revenue-attainment multiplier  ×  Conversion gate</t>
  </si>
  <si>
    <t xml:space="preserve">STEP 1 – Deal size band (MRR after discount)</t>
  </si>
  <si>
    <t xml:space="preserve">  • &lt; $1,000/mo  → Growth ($499) and Scale ($999)        • $1,000–$3,000/mo → Agency ($2,000)        • $3,000+/mo → Enterprise / custom</t>
  </si>
  <si>
    <t xml:space="preserve">STEP 2 – Lead source (who did the work to create the deal)</t>
  </si>
  <si>
    <t xml:space="preserve">  • Inbound – marketing/another team generated it; she ran the demo and closed. Lowest rate.</t>
  </si>
  <si>
    <t xml:space="preserve">  • Co-sourced – inbound lead that had gone cold / needed real nurturing, or a referral she actively worked. Middle rate.</t>
  </si>
  <si>
    <t xml:space="preserve">  • Self-sourced – she prospected / outreached and created the opportunity herself. Highest rate (~1.5–1.75x inbound).</t>
  </si>
  <si>
    <t xml:space="preserve">STEP 3 – Contract &amp; payment type multiplier</t>
  </si>
  <si>
    <t xml:space="preserve">  • Annual upfront 1.00x (baseline) · Annual billed monthly 0.75x · Multi-year upfront 1.30x · Multi-year billed annually 1.15x · Month-to-month 0.40x</t>
  </si>
  <si>
    <t xml:space="preserve">  • Commission is always calculated on YEAR-1 ACV (MRR × 12) — never on full multi-year TCV. The multi-year multiplier is the reward for the longer commitment.</t>
  </si>
  <si>
    <t xml:space="preserve">STEP 4 – Monthly gates (she isn't a full-time AE, so targets are modest and two-sided)</t>
  </si>
  <si>
    <t xml:space="preserve">  • Revenue target: New MRR closed in the month vs target → tiered multiplier (0x below 50%, 0.5x, 0.8x, 1.0x at target, 1.25x accelerator at 120%+).</t>
  </si>
  <si>
    <t xml:space="preserve">  • Quality target: MQL → Closed-won conversion % (inbound + co-sourced deals ÷ MQLs). Miss it and the month's payout is multiplied by the penalty (0.75x by default; set to 0 for a hard gate).</t>
  </si>
  <si>
    <t xml:space="preserve">HOW TO USE THIS WORKBOOK</t>
  </si>
  <si>
    <t xml:space="preserve">  1. Inputs – every lever (rates, multipliers, targets, tiers, base salary sanity check). Blue text = editable; yellow = key decisions to agree on.</t>
  </si>
  <si>
    <t xml:space="preserve">  2. Scenario Matrix – what she earns per deal for every plan × payment type × source. Use this in the brainstorm.</t>
  </si>
  <si>
    <t xml:space="preserve">  3. Deal Log – one row per closed-won deal. Enter the blue columns; everything else calculates. Example rows included — overwrite them.</t>
  </si>
  <si>
    <t xml:space="preserve">  4. Monthly Scorecard – enter MQLs per month; deals/MRR pull from Deal Log; payout calculates after gates.</t>
  </si>
  <si>
    <t xml:space="preserve">  5. Benchmarks – the research behind the default numbers.</t>
  </si>
  <si>
    <t xml:space="preserve">GUARDRAILS (recommended policy, agree before launch)</t>
  </si>
  <si>
    <t xml:space="preserve">  • Paid on cash collected, not on signature. Annual-monthly: paid in 2 halves (month 1 and month 6). Month-to-month: paid after 3rd payment.</t>
  </si>
  <si>
    <t xml:space="preserve">  • Clawback if the customer churns / refunds inside the clawback window (90 days default).</t>
  </si>
  <si>
    <t xml:space="preserve">  • Lead source is tagged in the CRM at deal creation and signed off by the founder — this avoids disputes on 'who sourced it'.</t>
  </si>
  <si>
    <t xml:space="preserve">  • Review the plan after 1 quarter; recalibrate targets from actual MQL volume and conversion.</t>
  </si>
  <si>
    <t xml:space="preserve">Inputs – all plan levers</t>
  </si>
  <si>
    <t xml:space="preserve">Legend: blue text = editable input · yellow fill = key decision to agree on · black = formula. Defaults are benchmark-based starting points (see Benchmarks tab).</t>
  </si>
  <si>
    <t xml:space="preserve">1. Base commission rate (% of Year-1 ACV) by deal size and lead source</t>
  </si>
  <si>
    <t xml:space="preserve">Deal band</t>
  </si>
  <si>
    <t xml:space="preserve">Min MRR ($/mo)</t>
  </si>
  <si>
    <t xml:space="preserve">Inbound (closer only)</t>
  </si>
  <si>
    <t xml:space="preserve">Co-sourced</t>
  </si>
  <si>
    <t xml:space="preserve">Self-sourced</t>
  </si>
  <si>
    <t xml:space="preserve">Rationale</t>
  </si>
  <si>
    <t xml:space="preserve">&lt; $1,000/mo (Growth, Scale)</t>
  </si>
  <si>
    <t xml:space="preserve">Small, fast deals; mostly inbound demo-and-close. Lower rate keeps cost of sale in line with ~$5–10k ACV.</t>
  </si>
  <si>
    <t xml:space="preserve">$1,000–$3,000/mo (Agency)</t>
  </si>
  <si>
    <t xml:space="preserve">Mid-market cycle, more stakeholders. Near the ~10% AE benchmark for self-sourced.</t>
  </si>
  <si>
    <t xml:space="preserve">$3,000+/mo (Enterprise / custom)</t>
  </si>
  <si>
    <t xml:space="preserve">Longest cycle, negotiation, procurement. Highest rate to reward the hardest deals.</t>
  </si>
  <si>
    <t xml:space="preserve">2. Contract &amp; payment multiplier (applied to base rate)</t>
  </si>
  <si>
    <t xml:space="preserve">Payment type</t>
  </si>
  <si>
    <t xml:space="preserve">Multiplier</t>
  </si>
  <si>
    <t xml:space="preserve">Annual discount applies?</t>
  </si>
  <si>
    <t xml:space="preserve">When commission is paid</t>
  </si>
  <si>
    <t xml:space="preserve">Annual - Upfront</t>
  </si>
  <si>
    <t xml:space="preserve">Yes</t>
  </si>
  <si>
    <t xml:space="preserve">100% when invoice is paid</t>
  </si>
  <si>
    <t xml:space="preserve">Baseline. Full year of cash in hand, lowest churn risk.</t>
  </si>
  <si>
    <t xml:space="preserve">Annual - Monthly billing</t>
  </si>
  <si>
    <t xml:space="preserve">50% after 1st payment, 50% after 6th payment</t>
  </si>
  <si>
    <t xml:space="preserve">Same commitment but cash risk sits with Slate; discount reflects that.</t>
  </si>
  <si>
    <t xml:space="preserve">Multi-year - Upfront</t>
  </si>
  <si>
    <t xml:space="preserve">2+ yr cash upfront is the best outcome. Calculated on Year-1 ACV only, never full TCV.</t>
  </si>
  <si>
    <t xml:space="preserve">Multi-year - Annual billing</t>
  </si>
  <si>
    <t xml:space="preserve">100% when Year-1 invoice is paid</t>
  </si>
  <si>
    <t xml:space="preserve">Long commitment, but only year 1 cash collected.</t>
  </si>
  <si>
    <t xml:space="preserve">Month-to-month</t>
  </si>
  <si>
    <t xml:space="preserve">No</t>
  </si>
  <si>
    <t xml:space="preserve">100% after 3rd monthly payment</t>
  </si>
  <si>
    <t xml:space="preserve">No commitment, highest churn. Small reward; push her toward annual.</t>
  </si>
  <si>
    <t xml:space="preserve">3. Lead source definitions (tag in CRM at deal creation)</t>
  </si>
  <si>
    <t xml:space="preserve">Source</t>
  </si>
  <si>
    <t xml:space="preserve">Definition</t>
  </si>
  <si>
    <t xml:space="preserve">Evidence required</t>
  </si>
  <si>
    <t xml:space="preserve">Inbound</t>
  </si>
  <si>
    <t xml:space="preserve">Lead came from marketing / website / another team; she ran demo and closed.</t>
  </si>
  <si>
    <t xml:space="preserve">Default for any MQL routed to her.</t>
  </si>
  <si>
    <t xml:space="preserve">Inbound or referral lead that needed meaningful work from her: revived a cold lead, multi-thread outreach, ran a custom pilot.</t>
  </si>
  <si>
    <t xml:space="preserve">Founder sign-off; activity visible in CRM.</t>
  </si>
  <si>
    <t xml:space="preserve">She found the account and did first outreach (LinkedIn, email, events, network). No prior inbound touch in last 90 days.</t>
  </si>
  <si>
    <t xml:space="preserve">First-touch activity logged by her in CRM before any marketing touch.</t>
  </si>
  <si>
    <t xml:space="preserve">4. Monthly targets &amp; gates</t>
  </si>
  <si>
    <t xml:space="preserve">New MRR target ($/mo, all sources)</t>
  </si>
  <si>
    <t xml:space="preserve">PLACEHOLDER – set from trailing 3-month avg new MRR × ~1.1. Includes inbound + self-sourced.</t>
  </si>
  <si>
    <t xml:space="preserve">MQL → Closed-won target %</t>
  </si>
  <si>
    <t xml:space="preserve">PLACEHOLDER – B2B SaaS benchmark is ~1–5% MQL→customer; demo-request MQLs convert higher. Calibrate to your last 3 months.</t>
  </si>
  <si>
    <t xml:space="preserve">Payout multiplier if conversion target missed</t>
  </si>
  <si>
    <t xml:space="preserve">0.75x = soft gate. Set to 0 to make it a hard 'must hit to earn' gate.</t>
  </si>
  <si>
    <t xml:space="preserve">Monthly payout cap ($, 0 = no cap)</t>
  </si>
  <si>
    <t xml:space="preserve">Optional safety valve while the plan is new.</t>
  </si>
  <si>
    <t xml:space="preserve">Clawback window (days)</t>
  </si>
  <si>
    <t xml:space="preserve">Commission reversed if customer churns/refunds inside this window.</t>
  </si>
  <si>
    <t xml:space="preserve">Annual plan discount</t>
  </si>
  <si>
    <t xml:space="preserve">From Slate pricing page (Annual = 20% off).</t>
  </si>
  <si>
    <t xml:space="preserve">5. Revenue attainment → payout multiplier (New MRR ÷ target)</t>
  </si>
  <si>
    <t xml:space="preserve">Attainment from</t>
  </si>
  <si>
    <t xml:space="preserve">Meaning</t>
  </si>
  <si>
    <t xml:space="preserve">Below threshold – no commission this month</t>
  </si>
  <si>
    <t xml:space="preserve">Partial</t>
  </si>
  <si>
    <t xml:space="preserve">Near target</t>
  </si>
  <si>
    <t xml:space="preserve">At target – full commission</t>
  </si>
  <si>
    <t xml:space="preserve">Accelerator – over-delivery</t>
  </si>
  <si>
    <t xml:space="preserve">6. OTE sanity check (does the plan land near a 70/30 split?)</t>
  </si>
  <si>
    <t xml:space="preserve">Her annual base salary ($)</t>
  </si>
  <si>
    <t xml:space="preserve">PLACEHOLDER – replace with actual base (in $).</t>
  </si>
  <si>
    <t xml:space="preserve">Variable share of OTE</t>
  </si>
  <si>
    <t xml:space="preserve">70/30 base/variable as requested.</t>
  </si>
  <si>
    <t xml:space="preserve">Target annual variable ($)</t>
  </si>
  <si>
    <t xml:space="preserve">Variable she'd earn at 100% target under a true 70/30.</t>
  </si>
  <si>
    <t xml:space="preserve">Target monthly variable ($)</t>
  </si>
  <si>
    <t xml:space="preserve">Expected monthly commission at 100% target ($)</t>
  </si>
  <si>
    <t xml:space="preserve">New MRR target × 12 × blended rate.</t>
  </si>
  <si>
    <t xml:space="preserve">Assumed blended effective rate (deal mix)</t>
  </si>
  <si>
    <t xml:space="preserve">Rough mix: mostly inbound, small deals, some annual-monthly. Check Deal Log actuals.</t>
  </si>
  <si>
    <t xml:space="preserve">Expected ÷ target variable</t>
  </si>
  <si>
    <t xml:space="preserve">~100% = plan is calibrated. Far above → lower rates or raise target; far below → raise rates.</t>
  </si>
  <si>
    <t xml:space="preserve">Blended rate needed to hit target variable</t>
  </si>
  <si>
    <t xml:space="preserve">Use this to tune the rate matrix in section 1.</t>
  </si>
  <si>
    <t xml:space="preserve">Scenario Matrix – commission per deal (before monthly gates)</t>
  </si>
  <si>
    <t xml:space="preserve">List MRR is editable (blue). Net MRR applies the annual discount where Inputs says it applies. Everything else is driven by the Inputs tab.</t>
  </si>
  <si>
    <t xml:space="preserve">Plan</t>
  </si>
  <si>
    <t xml:space="preserve">List MRR ($/mo)</t>
  </si>
  <si>
    <t xml:space="preserve">Net MRR ($/mo)</t>
  </si>
  <si>
    <t xml:space="preserve">Year-1 ACV ($)</t>
  </si>
  <si>
    <t xml:space="preserve">Inbound ($)</t>
  </si>
  <si>
    <t xml:space="preserve">Co-sourced ($)</t>
  </si>
  <si>
    <t xml:space="preserve">Self-sourced ($)</t>
  </si>
  <si>
    <t xml:space="preserve">Growth</t>
  </si>
  <si>
    <t xml:space="preserve">Scale</t>
  </si>
  <si>
    <t xml:space="preserve">Agency</t>
  </si>
  <si>
    <t xml:space="preserve">Enterprise</t>
  </si>
  <si>
    <t xml:space="preserve">Deal Log – one row per closed-won deal</t>
  </si>
  <si>
    <t xml:space="preserve">Fill the blue columns (A, C–H, Q). Net MRR = actual billed monthly amount after discounts. Rows 5–10 are EXAMPLES – overwrite them.</t>
  </si>
  <si>
    <t xml:space="preserve">Close date</t>
  </si>
  <si>
    <t xml:space="preserve">Month</t>
  </si>
  <si>
    <t xml:space="preserve">Customer</t>
  </si>
  <si>
    <t xml:space="preserve">Term (months)</t>
  </si>
  <si>
    <t xml:space="preserve">Lead source</t>
  </si>
  <si>
    <t xml:space="preserve">Total contract value ($)</t>
  </si>
  <si>
    <t xml:space="preserve">Base rate</t>
  </si>
  <si>
    <t xml:space="preserve">Payment mult.</t>
  </si>
  <si>
    <t xml:space="preserve">Effective rate</t>
  </si>
  <si>
    <t xml:space="preserve">Commission ($)</t>
  </si>
  <si>
    <t xml:space="preserve">When paid</t>
  </si>
  <si>
    <t xml:space="preserve">Notes</t>
  </si>
  <si>
    <t xml:space="preserve">Example – Acme Co</t>
  </si>
  <si>
    <t xml:space="preserve">Example – Brightline</t>
  </si>
  <si>
    <t xml:space="preserve">Example – Northpeak Agency</t>
  </si>
  <si>
    <t xml:space="preserve">Example – Lumen Health</t>
  </si>
  <si>
    <t xml:space="preserve">Example – Vertex Retail</t>
  </si>
  <si>
    <t xml:space="preserve">Example – Orbit Labs</t>
  </si>
  <si>
    <t xml:space="preserve">TOTAL</t>
  </si>
  <si>
    <t xml:space="preserve">Monthly Scorecard – targets, gates and payout</t>
  </si>
  <si>
    <t xml:space="preserve">Enter MQLs and demos (blue). Deals and MRR pull from Deal Log. Target defaults to Inputs but can be overridden per month. Commission is shown in the month earned; cash payout timing follows the 'When paid' rule.</t>
  </si>
  <si>
    <t xml:space="preserve">MQLs routed to her</t>
  </si>
  <si>
    <t xml:space="preserve">Demos held</t>
  </si>
  <si>
    <t xml:space="preserve">Deals won (all)</t>
  </si>
  <si>
    <t xml:space="preserve">Deals won (inbound + co-sourced)</t>
  </si>
  <si>
    <t xml:space="preserve">New MRR closed ($)</t>
  </si>
  <si>
    <t xml:space="preserve">MQL → Won %</t>
  </si>
  <si>
    <t xml:space="preserve">New MRR target ($)</t>
  </si>
  <si>
    <t xml:space="preserve">Revenue attainment</t>
  </si>
  <si>
    <t xml:space="preserve">Revenue tier mult.</t>
  </si>
  <si>
    <t xml:space="preserve">Conversion target met?</t>
  </si>
  <si>
    <t xml:space="preserve">Final payout mult.</t>
  </si>
  <si>
    <t xml:space="preserve">Commission earned ($)</t>
  </si>
  <si>
    <t xml:space="preserve">Payout after gates ($)</t>
  </si>
  <si>
    <t xml:space="preserve">Benchmarks – research behind the defaults</t>
  </si>
  <si>
    <t xml:space="preserve">Typical ranges from public SaaS comp surveys and comp-planning guides (e.g., Bridge Group SaaS AE reports, RepVue, Pavilion, Xactly/CaptivateIQ/Spiff plan guides). Treat as directional, not exact.</t>
  </si>
  <si>
    <t xml:space="preserve">Topic</t>
  </si>
  <si>
    <t xml:space="preserve">Typical SaaS practice</t>
  </si>
  <si>
    <t xml:space="preserve">How it's applied here</t>
  </si>
  <si>
    <t xml:space="preserve">Commission rate (full-cycle AE)</t>
  </si>
  <si>
    <t xml:space="preserve">~8–12% of first-year ACV; ~10% is the common midpoint</t>
  </si>
  <si>
    <t xml:space="preserve">Self-sourced rates 10–14% by deal size</t>
  </si>
  <si>
    <t xml:space="preserve">Commission rate (closer on inbound)</t>
  </si>
  <si>
    <t xml:space="preserve">Lower than full-cycle, often ~5–8%, since lead-gen cost sits with marketing</t>
  </si>
  <si>
    <t xml:space="preserve">Inbound rates 6–8% by deal size</t>
  </si>
  <si>
    <t xml:space="preserve">Self-sourced premium</t>
  </si>
  <si>
    <t xml:space="preserve">+25–100% over inbound, or a separate SDR-style spiff</t>
  </si>
  <si>
    <t xml:space="preserve">Self-sourced ≈ 1.6–1.75x inbound; co-sourced in between</t>
  </si>
  <si>
    <t xml:space="preserve">Commission base</t>
  </si>
  <si>
    <t xml:space="preserve">First-year ACV (or ARR). Multi-year TCV is rarely fully commissioned</t>
  </si>
  <si>
    <t xml:space="preserve">Always Year-1 ACV = Net MRR × 12</t>
  </si>
  <si>
    <t xml:space="preserve">Multi-year deals</t>
  </si>
  <si>
    <t xml:space="preserve">Kicker of ~10–50% on yr-1 rate, or small % on out-years; more for upfront cash</t>
  </si>
  <si>
    <t xml:space="preserve">1.30x upfront / 1.15x billed annually</t>
  </si>
  <si>
    <t xml:space="preserve">Annual contract, monthly billing</t>
  </si>
  <si>
    <t xml:space="preserve">Often paid as cash is collected, or at a reduced rate</t>
  </si>
  <si>
    <t xml:space="preserve">0.75x, paid in two halves (month 1 and 6)</t>
  </si>
  <si>
    <t xml:space="preserve">Often no commission, or only after N months retained</t>
  </si>
  <si>
    <t xml:space="preserve">0.40x, paid after 3rd payment</t>
  </si>
  <si>
    <t xml:space="preserve">Pay mix</t>
  </si>
  <si>
    <t xml:space="preserve">AEs ~50/50; hybrid / AM / non-quota roles ~70/30 or 80/20</t>
  </si>
  <si>
    <t xml:space="preserve">70/30 used for the OTE sanity check</t>
  </si>
  <si>
    <t xml:space="preserve">Quota threshold &amp; accelerators</t>
  </si>
  <si>
    <t xml:space="preserve">No/partial payout below 50–70% attainment; accelerators 1.25–2x above 100%</t>
  </si>
  <si>
    <t xml:space="preserve">0x &lt;50%, 0.5x, 0.8x, 1.0x at target, 1.25x at 120%+</t>
  </si>
  <si>
    <t xml:space="preserve">Funnel conversion</t>
  </si>
  <si>
    <t xml:space="preserve">MQL→customer ~1–5% in B2B SaaS; demo/SQL→won ~20–30%</t>
  </si>
  <si>
    <t xml:space="preserve">MQL→won target 5% (calibrate to your data)</t>
  </si>
  <si>
    <t xml:space="preserve">Clawback</t>
  </si>
  <si>
    <t xml:space="preserve">60–180 days if customer churns or doesn't pay</t>
  </si>
  <si>
    <t xml:space="preserve">90 days</t>
  </si>
  <si>
    <t xml:space="preserve">Pay on cash vs booking</t>
  </si>
  <si>
    <t xml:space="preserve">Smaller companies usually pay on cash collected</t>
  </si>
  <si>
    <t xml:space="preserve">Paid on cash collected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</si>
</sst>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0.00\x"/>
    <numFmt numFmtId="168" formatCode="0"/>
    <numFmt numFmtId="169" formatCode="0%"/>
    <numFmt numFmtId="170" formatCode="\$#,##0.00;&quot;($&quot;#,##0.00\);\-"/>
    <numFmt numFmtId="171" formatCode="dd\-mmm\-yy"/>
    <numFmt numFmtId="172" formatCode="mmm\-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7316"/>
        <bgColor rgb="FFFF9900"/>
      </patternFill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/>
    </row>
    <row r="3" customFormat="false" ht="15" hidden="false" customHeight="false" outlineLevel="0" collapsed="false">
      <c r="A3" s="1"/>
      <c r="B3" s="4" t="s">
        <v>1</v>
      </c>
    </row>
    <row r="4" customFormat="false" ht="15" hidden="false" customHeight="false" outlineLevel="0" collapsed="false">
      <c r="A4" s="1"/>
      <c r="B4" s="3" t="s">
        <v>2</v>
      </c>
    </row>
    <row r="5" customFormat="false" ht="15" hidden="false" customHeight="false" outlineLevel="0" collapsed="false">
      <c r="A5" s="1"/>
      <c r="B5" s="3" t="s">
        <v>3</v>
      </c>
    </row>
    <row r="6" customFormat="false" ht="15" hidden="false" customHeight="false" outlineLevel="0" collapsed="false">
      <c r="A6" s="1"/>
      <c r="B6" s="3"/>
    </row>
    <row r="7" customFormat="false" ht="15" hidden="false" customHeight="false" outlineLevel="0" collapsed="false">
      <c r="A7" s="1"/>
      <c r="B7" s="4" t="s">
        <v>4</v>
      </c>
    </row>
    <row r="8" customFormat="false" ht="26.85" hidden="false" customHeight="false" outlineLevel="0" collapsed="false">
      <c r="A8" s="1"/>
      <c r="B8" s="3" t="s">
        <v>5</v>
      </c>
    </row>
    <row r="9" customFormat="false" ht="15" hidden="false" customHeight="false" outlineLevel="0" collapsed="false">
      <c r="A9" s="1"/>
      <c r="B9" s="4" t="s">
        <v>6</v>
      </c>
    </row>
    <row r="10" customFormat="false" ht="15" hidden="false" customHeight="false" outlineLevel="0" collapsed="false">
      <c r="A10" s="1"/>
      <c r="B10" s="3" t="s">
        <v>7</v>
      </c>
    </row>
    <row r="11" customFormat="false" ht="15" hidden="false" customHeight="false" outlineLevel="0" collapsed="false">
      <c r="A11" s="1"/>
      <c r="B11" s="3" t="s">
        <v>8</v>
      </c>
    </row>
    <row r="12" customFormat="false" ht="15" hidden="false" customHeight="false" outlineLevel="0" collapsed="false">
      <c r="A12" s="1"/>
      <c r="B12" s="3" t="s">
        <v>9</v>
      </c>
    </row>
    <row r="13" customFormat="false" ht="15" hidden="false" customHeight="false" outlineLevel="0" collapsed="false">
      <c r="A13" s="1"/>
      <c r="B13" s="4" t="s">
        <v>10</v>
      </c>
    </row>
    <row r="14" customFormat="false" ht="26.85" hidden="false" customHeight="false" outlineLevel="0" collapsed="false">
      <c r="A14" s="1"/>
      <c r="B14" s="3" t="s">
        <v>11</v>
      </c>
    </row>
    <row r="15" customFormat="false" ht="26.85" hidden="false" customHeight="false" outlineLevel="0" collapsed="false">
      <c r="A15" s="1"/>
      <c r="B15" s="3" t="s">
        <v>12</v>
      </c>
    </row>
    <row r="16" customFormat="false" ht="15" hidden="false" customHeight="false" outlineLevel="0" collapsed="false">
      <c r="A16" s="1"/>
      <c r="B16" s="4" t="s">
        <v>13</v>
      </c>
    </row>
    <row r="17" customFormat="false" ht="26.85" hidden="false" customHeight="false" outlineLevel="0" collapsed="false">
      <c r="A17" s="1"/>
      <c r="B17" s="3" t="s">
        <v>14</v>
      </c>
    </row>
    <row r="18" customFormat="false" ht="26.85" hidden="false" customHeight="false" outlineLevel="0" collapsed="false">
      <c r="A18" s="1"/>
      <c r="B18" s="3" t="s">
        <v>15</v>
      </c>
    </row>
    <row r="19" customFormat="false" ht="15" hidden="false" customHeight="false" outlineLevel="0" collapsed="false">
      <c r="A19" s="1"/>
      <c r="B19" s="3"/>
    </row>
    <row r="20" customFormat="false" ht="15" hidden="false" customHeight="false" outlineLevel="0" collapsed="false">
      <c r="A20" s="1"/>
      <c r="B20" s="4" t="s">
        <v>16</v>
      </c>
    </row>
    <row r="21" customFormat="false" ht="26.85" hidden="false" customHeight="false" outlineLevel="0" collapsed="false">
      <c r="A21" s="1"/>
      <c r="B21" s="3" t="s">
        <v>17</v>
      </c>
    </row>
    <row r="22" customFormat="false" ht="15" hidden="false" customHeight="false" outlineLevel="0" collapsed="false">
      <c r="A22" s="1"/>
      <c r="B22" s="3" t="s">
        <v>18</v>
      </c>
    </row>
    <row r="23" customFormat="false" ht="26.85" hidden="false" customHeight="false" outlineLevel="0" collapsed="false">
      <c r="A23" s="1"/>
      <c r="B23" s="3" t="s">
        <v>19</v>
      </c>
    </row>
    <row r="24" customFormat="false" ht="15" hidden="false" customHeight="false" outlineLevel="0" collapsed="false">
      <c r="A24" s="1"/>
      <c r="B24" s="3" t="s">
        <v>20</v>
      </c>
    </row>
    <row r="25" customFormat="false" ht="15" hidden="false" customHeight="false" outlineLevel="0" collapsed="false">
      <c r="A25" s="1"/>
      <c r="B25" s="3" t="s">
        <v>21</v>
      </c>
    </row>
    <row r="26" customFormat="false" ht="15" hidden="false" customHeight="false" outlineLevel="0" collapsed="false">
      <c r="A26" s="1"/>
      <c r="B26" s="3"/>
    </row>
    <row r="27" customFormat="false" ht="15" hidden="false" customHeight="false" outlineLevel="0" collapsed="false">
      <c r="A27" s="1"/>
      <c r="B27" s="4" t="s">
        <v>22</v>
      </c>
    </row>
    <row r="28" customFormat="false" ht="26.85" hidden="false" customHeight="false" outlineLevel="0" collapsed="false">
      <c r="A28" s="1"/>
      <c r="B28" s="3" t="s">
        <v>23</v>
      </c>
    </row>
    <row r="29" customFormat="false" ht="15" hidden="false" customHeight="false" outlineLevel="0" collapsed="false">
      <c r="A29" s="1"/>
      <c r="B29" s="3" t="s">
        <v>24</v>
      </c>
    </row>
    <row r="30" customFormat="false" ht="15" hidden="false" customHeight="false" outlineLevel="0" collapsed="false">
      <c r="A30" s="1"/>
      <c r="B30" s="3" t="s">
        <v>25</v>
      </c>
    </row>
    <row r="31" customFormat="false" ht="15" hidden="false" customHeight="false" outlineLevel="0" collapsed="false">
      <c r="A31" s="1"/>
      <c r="B31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5" t="s">
        <v>27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28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7" t="s">
        <v>29</v>
      </c>
      <c r="B4" s="8"/>
      <c r="C4" s="8"/>
      <c r="D4" s="8"/>
      <c r="E4" s="8"/>
      <c r="F4" s="8"/>
    </row>
    <row r="5" customFormat="false" ht="26.85" hidden="false" customHeight="false" outlineLevel="0" collapsed="false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</row>
    <row r="6" customFormat="false" ht="26.85" hidden="false" customHeight="false" outlineLevel="0" collapsed="false">
      <c r="A6" s="10" t="s">
        <v>36</v>
      </c>
      <c r="B6" s="11" t="n">
        <v>0</v>
      </c>
      <c r="C6" s="12" t="n">
        <v>0.06</v>
      </c>
      <c r="D6" s="12" t="n">
        <v>0.08</v>
      </c>
      <c r="E6" s="12" t="n">
        <v>0.1</v>
      </c>
      <c r="F6" s="10" t="s">
        <v>37</v>
      </c>
    </row>
    <row r="7" customFormat="false" ht="26.85" hidden="false" customHeight="false" outlineLevel="0" collapsed="false">
      <c r="A7" s="10" t="s">
        <v>38</v>
      </c>
      <c r="B7" s="11" t="n">
        <v>1000</v>
      </c>
      <c r="C7" s="12" t="n">
        <v>0.07</v>
      </c>
      <c r="D7" s="12" t="n">
        <v>0.09</v>
      </c>
      <c r="E7" s="12" t="n">
        <v>0.12</v>
      </c>
      <c r="F7" s="10" t="s">
        <v>39</v>
      </c>
    </row>
    <row r="8" customFormat="false" ht="26.85" hidden="false" customHeight="false" outlineLevel="0" collapsed="false">
      <c r="A8" s="10" t="s">
        <v>40</v>
      </c>
      <c r="B8" s="11" t="n">
        <v>3000</v>
      </c>
      <c r="C8" s="12" t="n">
        <v>0.08</v>
      </c>
      <c r="D8" s="12" t="n">
        <v>0.1</v>
      </c>
      <c r="E8" s="12" t="n">
        <v>0.14</v>
      </c>
      <c r="F8" s="10" t="s">
        <v>41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7" t="s">
        <v>42</v>
      </c>
      <c r="B10" s="8"/>
      <c r="C10" s="8"/>
      <c r="D10" s="8"/>
      <c r="E10" s="8"/>
      <c r="F10" s="8"/>
    </row>
    <row r="11" customFormat="false" ht="26.85" hidden="false" customHeight="true" outlineLevel="0" collapsed="false">
      <c r="A11" s="9" t="s">
        <v>43</v>
      </c>
      <c r="B11" s="9" t="s">
        <v>44</v>
      </c>
      <c r="C11" s="9" t="s">
        <v>45</v>
      </c>
      <c r="D11" s="9" t="s">
        <v>46</v>
      </c>
      <c r="E11" s="9"/>
      <c r="F11" s="9" t="s">
        <v>35</v>
      </c>
    </row>
    <row r="12" customFormat="false" ht="15" hidden="false" customHeight="true" outlineLevel="0" collapsed="false">
      <c r="A12" s="10" t="s">
        <v>47</v>
      </c>
      <c r="B12" s="13" t="n">
        <v>1</v>
      </c>
      <c r="C12" s="14" t="s">
        <v>48</v>
      </c>
      <c r="D12" s="15" t="s">
        <v>49</v>
      </c>
      <c r="E12" s="15"/>
      <c r="F12" s="10" t="s">
        <v>50</v>
      </c>
    </row>
    <row r="13" customFormat="false" ht="26.85" hidden="false" customHeight="true" outlineLevel="0" collapsed="false">
      <c r="A13" s="10" t="s">
        <v>51</v>
      </c>
      <c r="B13" s="13" t="n">
        <v>0.75</v>
      </c>
      <c r="C13" s="14" t="s">
        <v>48</v>
      </c>
      <c r="D13" s="15" t="s">
        <v>52</v>
      </c>
      <c r="E13" s="15"/>
      <c r="F13" s="10" t="s">
        <v>53</v>
      </c>
    </row>
    <row r="14" customFormat="false" ht="26.85" hidden="false" customHeight="true" outlineLevel="0" collapsed="false">
      <c r="A14" s="10" t="s">
        <v>54</v>
      </c>
      <c r="B14" s="13" t="n">
        <v>1.3</v>
      </c>
      <c r="C14" s="14" t="s">
        <v>48</v>
      </c>
      <c r="D14" s="15" t="s">
        <v>49</v>
      </c>
      <c r="E14" s="15"/>
      <c r="F14" s="10" t="s">
        <v>55</v>
      </c>
    </row>
    <row r="15" customFormat="false" ht="15" hidden="false" customHeight="true" outlineLevel="0" collapsed="false">
      <c r="A15" s="10" t="s">
        <v>56</v>
      </c>
      <c r="B15" s="13" t="n">
        <v>1.15</v>
      </c>
      <c r="C15" s="14" t="s">
        <v>48</v>
      </c>
      <c r="D15" s="15" t="s">
        <v>57</v>
      </c>
      <c r="E15" s="15"/>
      <c r="F15" s="10" t="s">
        <v>58</v>
      </c>
    </row>
    <row r="16" customFormat="false" ht="15" hidden="false" customHeight="true" outlineLevel="0" collapsed="false">
      <c r="A16" s="10" t="s">
        <v>59</v>
      </c>
      <c r="B16" s="13" t="n">
        <v>0.4</v>
      </c>
      <c r="C16" s="14" t="s">
        <v>60</v>
      </c>
      <c r="D16" s="15" t="s">
        <v>61</v>
      </c>
      <c r="E16" s="15"/>
      <c r="F16" s="10" t="s">
        <v>62</v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7" t="s">
        <v>63</v>
      </c>
      <c r="B18" s="8"/>
      <c r="C18" s="8"/>
      <c r="D18" s="8"/>
      <c r="E18" s="8"/>
      <c r="F18" s="8"/>
    </row>
    <row r="19" customFormat="false" ht="15" hidden="false" customHeight="true" outlineLevel="0" collapsed="false">
      <c r="A19" s="9" t="s">
        <v>64</v>
      </c>
      <c r="B19" s="9" t="s">
        <v>65</v>
      </c>
      <c r="C19" s="9"/>
      <c r="D19" s="9"/>
      <c r="E19" s="9"/>
      <c r="F19" s="9" t="s">
        <v>66</v>
      </c>
    </row>
    <row r="20" customFormat="false" ht="31.5" hidden="false" customHeight="true" outlineLevel="0" collapsed="false">
      <c r="A20" s="16" t="s">
        <v>67</v>
      </c>
      <c r="B20" s="17" t="s">
        <v>68</v>
      </c>
      <c r="C20" s="17"/>
      <c r="D20" s="17"/>
      <c r="E20" s="17"/>
      <c r="F20" s="10" t="s">
        <v>69</v>
      </c>
    </row>
    <row r="21" customFormat="false" ht="31.5" hidden="false" customHeight="true" outlineLevel="0" collapsed="false">
      <c r="A21" s="16" t="s">
        <v>33</v>
      </c>
      <c r="B21" s="17" t="s">
        <v>70</v>
      </c>
      <c r="C21" s="17"/>
      <c r="D21" s="17"/>
      <c r="E21" s="17"/>
      <c r="F21" s="10" t="s">
        <v>71</v>
      </c>
    </row>
    <row r="22" customFormat="false" ht="31.5" hidden="false" customHeight="true" outlineLevel="0" collapsed="false">
      <c r="A22" s="16" t="s">
        <v>34</v>
      </c>
      <c r="B22" s="17" t="s">
        <v>72</v>
      </c>
      <c r="C22" s="17"/>
      <c r="D22" s="17"/>
      <c r="E22" s="17"/>
      <c r="F22" s="10" t="s">
        <v>73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7" t="s">
        <v>74</v>
      </c>
      <c r="B24" s="8"/>
      <c r="C24" s="8"/>
      <c r="D24" s="8"/>
      <c r="E24" s="8"/>
      <c r="F24" s="8"/>
    </row>
    <row r="25" customFormat="false" ht="26.85" hidden="false" customHeight="false" outlineLevel="0" collapsed="false">
      <c r="A25" s="10" t="s">
        <v>75</v>
      </c>
      <c r="B25" s="18" t="n">
        <v>6000</v>
      </c>
      <c r="C25" s="1"/>
      <c r="D25" s="1"/>
      <c r="E25" s="1"/>
      <c r="F25" s="10" t="s">
        <v>76</v>
      </c>
    </row>
    <row r="26" customFormat="false" ht="26.85" hidden="false" customHeight="false" outlineLevel="0" collapsed="false">
      <c r="A26" s="10" t="s">
        <v>77</v>
      </c>
      <c r="B26" s="12" t="n">
        <v>0.05</v>
      </c>
      <c r="C26" s="1"/>
      <c r="D26" s="1"/>
      <c r="E26" s="1"/>
      <c r="F26" s="10" t="s">
        <v>78</v>
      </c>
    </row>
    <row r="27" customFormat="false" ht="15" hidden="false" customHeight="false" outlineLevel="0" collapsed="false">
      <c r="A27" s="10" t="s">
        <v>79</v>
      </c>
      <c r="B27" s="13" t="n">
        <v>0.75</v>
      </c>
      <c r="C27" s="1"/>
      <c r="D27" s="1"/>
      <c r="E27" s="1"/>
      <c r="F27" s="10" t="s">
        <v>80</v>
      </c>
    </row>
    <row r="28" customFormat="false" ht="15" hidden="false" customHeight="false" outlineLevel="0" collapsed="false">
      <c r="A28" s="10" t="s">
        <v>81</v>
      </c>
      <c r="B28" s="18" t="n">
        <v>0</v>
      </c>
      <c r="C28" s="1"/>
      <c r="D28" s="1"/>
      <c r="E28" s="1"/>
      <c r="F28" s="10" t="s">
        <v>82</v>
      </c>
    </row>
    <row r="29" customFormat="false" ht="15" hidden="false" customHeight="false" outlineLevel="0" collapsed="false">
      <c r="A29" s="10" t="s">
        <v>83</v>
      </c>
      <c r="B29" s="19" t="n">
        <v>90</v>
      </c>
      <c r="C29" s="1"/>
      <c r="D29" s="1"/>
      <c r="E29" s="1"/>
      <c r="F29" s="10" t="s">
        <v>84</v>
      </c>
    </row>
    <row r="30" customFormat="false" ht="15" hidden="false" customHeight="false" outlineLevel="0" collapsed="false">
      <c r="A30" s="10" t="s">
        <v>85</v>
      </c>
      <c r="B30" s="12" t="n">
        <v>0.2</v>
      </c>
      <c r="C30" s="1"/>
      <c r="D30" s="1"/>
      <c r="E30" s="1"/>
      <c r="F30" s="10" t="s">
        <v>86</v>
      </c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7" t="s">
        <v>87</v>
      </c>
      <c r="B32" s="8"/>
      <c r="C32" s="8"/>
      <c r="D32" s="8"/>
      <c r="E32" s="8"/>
      <c r="F32" s="8"/>
    </row>
    <row r="33" customFormat="false" ht="15" hidden="false" customHeight="false" outlineLevel="0" collapsed="false">
      <c r="A33" s="9" t="s">
        <v>88</v>
      </c>
      <c r="B33" s="9" t="s">
        <v>44</v>
      </c>
      <c r="C33" s="9" t="s">
        <v>89</v>
      </c>
      <c r="D33" s="9"/>
      <c r="E33" s="9"/>
      <c r="F33" s="9"/>
    </row>
    <row r="34" customFormat="false" ht="15" hidden="false" customHeight="true" outlineLevel="0" collapsed="false">
      <c r="A34" s="20" t="n">
        <v>0</v>
      </c>
      <c r="B34" s="13" t="n">
        <v>0</v>
      </c>
      <c r="C34" s="10" t="s">
        <v>90</v>
      </c>
      <c r="D34" s="10"/>
      <c r="E34" s="10"/>
      <c r="F34" s="10"/>
    </row>
    <row r="35" customFormat="false" ht="15" hidden="false" customHeight="true" outlineLevel="0" collapsed="false">
      <c r="A35" s="20" t="n">
        <v>0.5</v>
      </c>
      <c r="B35" s="13" t="n">
        <v>0.5</v>
      </c>
      <c r="C35" s="10" t="s">
        <v>91</v>
      </c>
      <c r="D35" s="10"/>
      <c r="E35" s="10"/>
      <c r="F35" s="10"/>
    </row>
    <row r="36" customFormat="false" ht="15" hidden="false" customHeight="true" outlineLevel="0" collapsed="false">
      <c r="A36" s="20" t="n">
        <v>0.8</v>
      </c>
      <c r="B36" s="13" t="n">
        <v>0.8</v>
      </c>
      <c r="C36" s="10" t="s">
        <v>92</v>
      </c>
      <c r="D36" s="10"/>
      <c r="E36" s="10"/>
      <c r="F36" s="10"/>
    </row>
    <row r="37" customFormat="false" ht="15" hidden="false" customHeight="true" outlineLevel="0" collapsed="false">
      <c r="A37" s="20" t="n">
        <v>1</v>
      </c>
      <c r="B37" s="13" t="n">
        <v>1</v>
      </c>
      <c r="C37" s="10" t="s">
        <v>93</v>
      </c>
      <c r="D37" s="10"/>
      <c r="E37" s="10"/>
      <c r="F37" s="10"/>
    </row>
    <row r="38" customFormat="false" ht="15" hidden="false" customHeight="true" outlineLevel="0" collapsed="false">
      <c r="A38" s="20" t="n">
        <v>1.2</v>
      </c>
      <c r="B38" s="13" t="n">
        <v>1.25</v>
      </c>
      <c r="C38" s="10" t="s">
        <v>94</v>
      </c>
      <c r="D38" s="10"/>
      <c r="E38" s="10"/>
      <c r="F38" s="10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</row>
    <row r="40" customFormat="false" ht="15" hidden="false" customHeight="false" outlineLevel="0" collapsed="false">
      <c r="A40" s="7" t="s">
        <v>95</v>
      </c>
      <c r="B40" s="8"/>
      <c r="C40" s="8"/>
      <c r="D40" s="8"/>
      <c r="E40" s="8"/>
      <c r="F40" s="8"/>
    </row>
    <row r="41" customFormat="false" ht="15" hidden="false" customHeight="false" outlineLevel="0" collapsed="false">
      <c r="A41" s="10" t="s">
        <v>96</v>
      </c>
      <c r="B41" s="18" t="n">
        <v>60000</v>
      </c>
      <c r="C41" s="1"/>
      <c r="D41" s="1"/>
      <c r="E41" s="1"/>
      <c r="F41" s="10" t="s">
        <v>97</v>
      </c>
    </row>
    <row r="42" customFormat="false" ht="15" hidden="false" customHeight="false" outlineLevel="0" collapsed="false">
      <c r="A42" s="10" t="s">
        <v>98</v>
      </c>
      <c r="B42" s="12" t="n">
        <v>0.3</v>
      </c>
      <c r="C42" s="1"/>
      <c r="D42" s="1"/>
      <c r="E42" s="1"/>
      <c r="F42" s="10" t="s">
        <v>99</v>
      </c>
    </row>
    <row r="43" customFormat="false" ht="15" hidden="false" customHeight="false" outlineLevel="0" collapsed="false">
      <c r="A43" s="10" t="s">
        <v>100</v>
      </c>
      <c r="B43" s="21" t="n">
        <f aca="false">B41*B42/(1-B42)</f>
        <v>25714.2857142857</v>
      </c>
      <c r="C43" s="1"/>
      <c r="D43" s="1"/>
      <c r="E43" s="1"/>
      <c r="F43" s="10" t="s">
        <v>101</v>
      </c>
    </row>
    <row r="44" customFormat="false" ht="15" hidden="false" customHeight="false" outlineLevel="0" collapsed="false">
      <c r="A44" s="10" t="s">
        <v>102</v>
      </c>
      <c r="B44" s="21" t="n">
        <f aca="false">B43/12</f>
        <v>2142.85714285714</v>
      </c>
      <c r="C44" s="1"/>
      <c r="D44" s="1"/>
      <c r="E44" s="1"/>
      <c r="F44" s="10"/>
    </row>
    <row r="45" customFormat="false" ht="26.85" hidden="false" customHeight="false" outlineLevel="0" collapsed="false">
      <c r="A45" s="10" t="s">
        <v>103</v>
      </c>
      <c r="B45" s="21" t="n">
        <f aca="false">B25*12*B46</f>
        <v>5040</v>
      </c>
      <c r="C45" s="1"/>
      <c r="D45" s="1"/>
      <c r="E45" s="1"/>
      <c r="F45" s="10" t="s">
        <v>104</v>
      </c>
    </row>
    <row r="46" customFormat="false" ht="26.85" hidden="false" customHeight="false" outlineLevel="0" collapsed="false">
      <c r="A46" s="10" t="s">
        <v>105</v>
      </c>
      <c r="B46" s="12" t="n">
        <v>0.07</v>
      </c>
      <c r="C46" s="1"/>
      <c r="D46" s="1"/>
      <c r="E46" s="1"/>
      <c r="F46" s="10" t="s">
        <v>106</v>
      </c>
    </row>
    <row r="47" customFormat="false" ht="26.85" hidden="false" customHeight="false" outlineLevel="0" collapsed="false">
      <c r="A47" s="10" t="s">
        <v>107</v>
      </c>
      <c r="B47" s="22" t="n">
        <f aca="false">IFERROR(B45/B44,0)</f>
        <v>2.352</v>
      </c>
      <c r="C47" s="1"/>
      <c r="D47" s="1"/>
      <c r="E47" s="1"/>
      <c r="F47" s="10" t="s">
        <v>108</v>
      </c>
    </row>
    <row r="48" customFormat="false" ht="15" hidden="false" customHeight="false" outlineLevel="0" collapsed="false">
      <c r="A48" s="10" t="s">
        <v>109</v>
      </c>
      <c r="B48" s="23" t="n">
        <f aca="false">IFERROR(B44/(B25*12),0)</f>
        <v>0.0297619047619048</v>
      </c>
      <c r="C48" s="1"/>
      <c r="D48" s="1"/>
      <c r="E48" s="1"/>
      <c r="F48" s="10" t="s">
        <v>110</v>
      </c>
    </row>
  </sheetData>
  <mergeCells count="15">
    <mergeCell ref="D11:E11"/>
    <mergeCell ref="D12:E12"/>
    <mergeCell ref="D13:E13"/>
    <mergeCell ref="D14:E14"/>
    <mergeCell ref="D15:E15"/>
    <mergeCell ref="D16:E16"/>
    <mergeCell ref="B19:E19"/>
    <mergeCell ref="B20:E20"/>
    <mergeCell ref="B21:E21"/>
    <mergeCell ref="B22:E22"/>
    <mergeCell ref="C34:F34"/>
    <mergeCell ref="C35:F35"/>
    <mergeCell ref="C36:F36"/>
    <mergeCell ref="C37:F37"/>
    <mergeCell ref="C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5" t="s">
        <v>111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6" t="s">
        <v>112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6.85" hidden="false" customHeight="false" outlineLevel="0" collapsed="false">
      <c r="A4" s="9" t="s">
        <v>113</v>
      </c>
      <c r="B4" s="9" t="s">
        <v>114</v>
      </c>
      <c r="C4" s="9" t="s">
        <v>43</v>
      </c>
      <c r="D4" s="9" t="s">
        <v>115</v>
      </c>
      <c r="E4" s="9" t="s">
        <v>116</v>
      </c>
      <c r="F4" s="9" t="s">
        <v>117</v>
      </c>
      <c r="G4" s="9" t="s">
        <v>118</v>
      </c>
      <c r="H4" s="9" t="s">
        <v>119</v>
      </c>
    </row>
    <row r="5" customFormat="false" ht="15" hidden="false" customHeight="false" outlineLevel="0" collapsed="false">
      <c r="A5" s="24" t="s">
        <v>120</v>
      </c>
      <c r="B5" s="11" t="n">
        <v>499</v>
      </c>
      <c r="C5" s="25" t="s">
        <v>47</v>
      </c>
      <c r="D5" s="26" t="n">
        <f aca="false">B5*(1-IF(INDEX(Inputs!$C$12:$C$16,MATCH(C5,Inputs!$A$12:$A$16,0))="Yes",Inputs!$B$30,0))</f>
        <v>399.2</v>
      </c>
      <c r="E5" s="27" t="n">
        <f aca="false">D5*12</f>
        <v>4790.4</v>
      </c>
      <c r="F5" s="28" t="n">
        <f aca="false">E5*INDEX(Inputs!$C$6:$C$8,MATCH(D5,Inputs!$B$6:$B$8,1))*INDEX(Inputs!$B$12:$B$16,MATCH(C5,Inputs!$A$12:$A$16,0))</f>
        <v>287.424</v>
      </c>
      <c r="G5" s="28" t="n">
        <f aca="false">E5*INDEX(Inputs!$D$6:$D$8,MATCH(D5,Inputs!$B$6:$B$8,1))*INDEX(Inputs!$B$12:$B$16,MATCH(C5,Inputs!$A$12:$A$16,0))</f>
        <v>383.232</v>
      </c>
      <c r="H5" s="28" t="n">
        <f aca="false">E5*INDEX(Inputs!$E$6:$E$8,MATCH(D5,Inputs!$B$6:$B$8,1))*INDEX(Inputs!$B$12:$B$16,MATCH(C5,Inputs!$A$12:$A$16,0))</f>
        <v>479.04</v>
      </c>
    </row>
    <row r="6" customFormat="false" ht="15" hidden="false" customHeight="false" outlineLevel="0" collapsed="false">
      <c r="A6" s="25" t="s">
        <v>120</v>
      </c>
      <c r="B6" s="27" t="n">
        <f aca="false">B5</f>
        <v>499</v>
      </c>
      <c r="C6" s="25" t="s">
        <v>51</v>
      </c>
      <c r="D6" s="26" t="n">
        <f aca="false">B6*(1-IF(INDEX(Inputs!$C$12:$C$16,MATCH(C6,Inputs!$A$12:$A$16,0))="Yes",Inputs!$B$30,0))</f>
        <v>399.2</v>
      </c>
      <c r="E6" s="27" t="n">
        <f aca="false">D6*12</f>
        <v>4790.4</v>
      </c>
      <c r="F6" s="28" t="n">
        <f aca="false">E6*INDEX(Inputs!$C$6:$C$8,MATCH(D6,Inputs!$B$6:$B$8,1))*INDEX(Inputs!$B$12:$B$16,MATCH(C6,Inputs!$A$12:$A$16,0))</f>
        <v>215.568</v>
      </c>
      <c r="G6" s="28" t="n">
        <f aca="false">E6*INDEX(Inputs!$D$6:$D$8,MATCH(D6,Inputs!$B$6:$B$8,1))*INDEX(Inputs!$B$12:$B$16,MATCH(C6,Inputs!$A$12:$A$16,0))</f>
        <v>287.424</v>
      </c>
      <c r="H6" s="28" t="n">
        <f aca="false">E6*INDEX(Inputs!$E$6:$E$8,MATCH(D6,Inputs!$B$6:$B$8,1))*INDEX(Inputs!$B$12:$B$16,MATCH(C6,Inputs!$A$12:$A$16,0))</f>
        <v>359.28</v>
      </c>
    </row>
    <row r="7" customFormat="false" ht="15" hidden="false" customHeight="false" outlineLevel="0" collapsed="false">
      <c r="A7" s="25" t="s">
        <v>120</v>
      </c>
      <c r="B7" s="27" t="n">
        <f aca="false">B6</f>
        <v>499</v>
      </c>
      <c r="C7" s="25" t="s">
        <v>54</v>
      </c>
      <c r="D7" s="26" t="n">
        <f aca="false">B7*(1-IF(INDEX(Inputs!$C$12:$C$16,MATCH(C7,Inputs!$A$12:$A$16,0))="Yes",Inputs!$B$30,0))</f>
        <v>399.2</v>
      </c>
      <c r="E7" s="27" t="n">
        <f aca="false">D7*12</f>
        <v>4790.4</v>
      </c>
      <c r="F7" s="28" t="n">
        <f aca="false">E7*INDEX(Inputs!$C$6:$C$8,MATCH(D7,Inputs!$B$6:$B$8,1))*INDEX(Inputs!$B$12:$B$16,MATCH(C7,Inputs!$A$12:$A$16,0))</f>
        <v>373.6512</v>
      </c>
      <c r="G7" s="28" t="n">
        <f aca="false">E7*INDEX(Inputs!$D$6:$D$8,MATCH(D7,Inputs!$B$6:$B$8,1))*INDEX(Inputs!$B$12:$B$16,MATCH(C7,Inputs!$A$12:$A$16,0))</f>
        <v>498.2016</v>
      </c>
      <c r="H7" s="28" t="n">
        <f aca="false">E7*INDEX(Inputs!$E$6:$E$8,MATCH(D7,Inputs!$B$6:$B$8,1))*INDEX(Inputs!$B$12:$B$16,MATCH(C7,Inputs!$A$12:$A$16,0))</f>
        <v>622.752</v>
      </c>
    </row>
    <row r="8" customFormat="false" ht="15" hidden="false" customHeight="false" outlineLevel="0" collapsed="false">
      <c r="A8" s="25" t="s">
        <v>120</v>
      </c>
      <c r="B8" s="27" t="n">
        <f aca="false">B7</f>
        <v>499</v>
      </c>
      <c r="C8" s="25" t="s">
        <v>56</v>
      </c>
      <c r="D8" s="26" t="n">
        <f aca="false">B8*(1-IF(INDEX(Inputs!$C$12:$C$16,MATCH(C8,Inputs!$A$12:$A$16,0))="Yes",Inputs!$B$30,0))</f>
        <v>399.2</v>
      </c>
      <c r="E8" s="27" t="n">
        <f aca="false">D8*12</f>
        <v>4790.4</v>
      </c>
      <c r="F8" s="28" t="n">
        <f aca="false">E8*INDEX(Inputs!$C$6:$C$8,MATCH(D8,Inputs!$B$6:$B$8,1))*INDEX(Inputs!$B$12:$B$16,MATCH(C8,Inputs!$A$12:$A$16,0))</f>
        <v>330.5376</v>
      </c>
      <c r="G8" s="28" t="n">
        <f aca="false">E8*INDEX(Inputs!$D$6:$D$8,MATCH(D8,Inputs!$B$6:$B$8,1))*INDEX(Inputs!$B$12:$B$16,MATCH(C8,Inputs!$A$12:$A$16,0))</f>
        <v>440.7168</v>
      </c>
      <c r="H8" s="28" t="n">
        <f aca="false">E8*INDEX(Inputs!$E$6:$E$8,MATCH(D8,Inputs!$B$6:$B$8,1))*INDEX(Inputs!$B$12:$B$16,MATCH(C8,Inputs!$A$12:$A$16,0))</f>
        <v>550.896</v>
      </c>
    </row>
    <row r="9" customFormat="false" ht="15" hidden="false" customHeight="false" outlineLevel="0" collapsed="false">
      <c r="A9" s="25" t="s">
        <v>120</v>
      </c>
      <c r="B9" s="27" t="n">
        <f aca="false">B8</f>
        <v>499</v>
      </c>
      <c r="C9" s="25" t="s">
        <v>59</v>
      </c>
      <c r="D9" s="26" t="n">
        <f aca="false">B9*(1-IF(INDEX(Inputs!$C$12:$C$16,MATCH(C9,Inputs!$A$12:$A$16,0))="Yes",Inputs!$B$30,0))</f>
        <v>499</v>
      </c>
      <c r="E9" s="27" t="n">
        <f aca="false">D9*12</f>
        <v>5988</v>
      </c>
      <c r="F9" s="28" t="n">
        <f aca="false">E9*INDEX(Inputs!$C$6:$C$8,MATCH(D9,Inputs!$B$6:$B$8,1))*INDEX(Inputs!$B$12:$B$16,MATCH(C9,Inputs!$A$12:$A$16,0))</f>
        <v>143.712</v>
      </c>
      <c r="G9" s="28" t="n">
        <f aca="false">E9*INDEX(Inputs!$D$6:$D$8,MATCH(D9,Inputs!$B$6:$B$8,1))*INDEX(Inputs!$B$12:$B$16,MATCH(C9,Inputs!$A$12:$A$16,0))</f>
        <v>191.616</v>
      </c>
      <c r="H9" s="28" t="n">
        <f aca="false">E9*INDEX(Inputs!$E$6:$E$8,MATCH(D9,Inputs!$B$6:$B$8,1))*INDEX(Inputs!$B$12:$B$16,MATCH(C9,Inputs!$A$12:$A$16,0))</f>
        <v>239.52</v>
      </c>
    </row>
    <row r="10" customFormat="false" ht="15" hidden="false" customHeight="false" outlineLevel="0" collapsed="false">
      <c r="A10" s="29" t="s">
        <v>121</v>
      </c>
      <c r="B10" s="30" t="n">
        <v>999</v>
      </c>
      <c r="C10" s="31" t="s">
        <v>47</v>
      </c>
      <c r="D10" s="32" t="n">
        <f aca="false">B10*(1-IF(INDEX(Inputs!$C$12:$C$16,MATCH(C10,Inputs!$A$12:$A$16,0))="Yes",Inputs!$B$30,0))</f>
        <v>799.2</v>
      </c>
      <c r="E10" s="33" t="n">
        <f aca="false">D10*12</f>
        <v>9590.4</v>
      </c>
      <c r="F10" s="34" t="n">
        <f aca="false">E10*INDEX(Inputs!$C$6:$C$8,MATCH(D10,Inputs!$B$6:$B$8,1))*INDEX(Inputs!$B$12:$B$16,MATCH(C10,Inputs!$A$12:$A$16,0))</f>
        <v>575.424</v>
      </c>
      <c r="G10" s="34" t="n">
        <f aca="false">E10*INDEX(Inputs!$D$6:$D$8,MATCH(D10,Inputs!$B$6:$B$8,1))*INDEX(Inputs!$B$12:$B$16,MATCH(C10,Inputs!$A$12:$A$16,0))</f>
        <v>767.232</v>
      </c>
      <c r="H10" s="34" t="n">
        <f aca="false">E10*INDEX(Inputs!$E$6:$E$8,MATCH(D10,Inputs!$B$6:$B$8,1))*INDEX(Inputs!$B$12:$B$16,MATCH(C10,Inputs!$A$12:$A$16,0))</f>
        <v>959.04</v>
      </c>
    </row>
    <row r="11" customFormat="false" ht="15" hidden="false" customHeight="false" outlineLevel="0" collapsed="false">
      <c r="A11" s="31" t="s">
        <v>121</v>
      </c>
      <c r="B11" s="33" t="n">
        <f aca="false">B10</f>
        <v>999</v>
      </c>
      <c r="C11" s="31" t="s">
        <v>51</v>
      </c>
      <c r="D11" s="32" t="n">
        <f aca="false">B11*(1-IF(INDEX(Inputs!$C$12:$C$16,MATCH(C11,Inputs!$A$12:$A$16,0))="Yes",Inputs!$B$30,0))</f>
        <v>799.2</v>
      </c>
      <c r="E11" s="33" t="n">
        <f aca="false">D11*12</f>
        <v>9590.4</v>
      </c>
      <c r="F11" s="34" t="n">
        <f aca="false">E11*INDEX(Inputs!$C$6:$C$8,MATCH(D11,Inputs!$B$6:$B$8,1))*INDEX(Inputs!$B$12:$B$16,MATCH(C11,Inputs!$A$12:$A$16,0))</f>
        <v>431.568</v>
      </c>
      <c r="G11" s="34" t="n">
        <f aca="false">E11*INDEX(Inputs!$D$6:$D$8,MATCH(D11,Inputs!$B$6:$B$8,1))*INDEX(Inputs!$B$12:$B$16,MATCH(C11,Inputs!$A$12:$A$16,0))</f>
        <v>575.424</v>
      </c>
      <c r="H11" s="34" t="n">
        <f aca="false">E11*INDEX(Inputs!$E$6:$E$8,MATCH(D11,Inputs!$B$6:$B$8,1))*INDEX(Inputs!$B$12:$B$16,MATCH(C11,Inputs!$A$12:$A$16,0))</f>
        <v>719.28</v>
      </c>
    </row>
    <row r="12" customFormat="false" ht="15" hidden="false" customHeight="false" outlineLevel="0" collapsed="false">
      <c r="A12" s="31" t="s">
        <v>121</v>
      </c>
      <c r="B12" s="33" t="n">
        <f aca="false">B11</f>
        <v>999</v>
      </c>
      <c r="C12" s="31" t="s">
        <v>54</v>
      </c>
      <c r="D12" s="32" t="n">
        <f aca="false">B12*(1-IF(INDEX(Inputs!$C$12:$C$16,MATCH(C12,Inputs!$A$12:$A$16,0))="Yes",Inputs!$B$30,0))</f>
        <v>799.2</v>
      </c>
      <c r="E12" s="33" t="n">
        <f aca="false">D12*12</f>
        <v>9590.4</v>
      </c>
      <c r="F12" s="34" t="n">
        <f aca="false">E12*INDEX(Inputs!$C$6:$C$8,MATCH(D12,Inputs!$B$6:$B$8,1))*INDEX(Inputs!$B$12:$B$16,MATCH(C12,Inputs!$A$12:$A$16,0))</f>
        <v>748.0512</v>
      </c>
      <c r="G12" s="34" t="n">
        <f aca="false">E12*INDEX(Inputs!$D$6:$D$8,MATCH(D12,Inputs!$B$6:$B$8,1))*INDEX(Inputs!$B$12:$B$16,MATCH(C12,Inputs!$A$12:$A$16,0))</f>
        <v>997.4016</v>
      </c>
      <c r="H12" s="34" t="n">
        <f aca="false">E12*INDEX(Inputs!$E$6:$E$8,MATCH(D12,Inputs!$B$6:$B$8,1))*INDEX(Inputs!$B$12:$B$16,MATCH(C12,Inputs!$A$12:$A$16,0))</f>
        <v>1246.752</v>
      </c>
    </row>
    <row r="13" customFormat="false" ht="15" hidden="false" customHeight="false" outlineLevel="0" collapsed="false">
      <c r="A13" s="31" t="s">
        <v>121</v>
      </c>
      <c r="B13" s="33" t="n">
        <f aca="false">B12</f>
        <v>999</v>
      </c>
      <c r="C13" s="31" t="s">
        <v>56</v>
      </c>
      <c r="D13" s="32" t="n">
        <f aca="false">B13*(1-IF(INDEX(Inputs!$C$12:$C$16,MATCH(C13,Inputs!$A$12:$A$16,0))="Yes",Inputs!$B$30,0))</f>
        <v>799.2</v>
      </c>
      <c r="E13" s="33" t="n">
        <f aca="false">D13*12</f>
        <v>9590.4</v>
      </c>
      <c r="F13" s="34" t="n">
        <f aca="false">E13*INDEX(Inputs!$C$6:$C$8,MATCH(D13,Inputs!$B$6:$B$8,1))*INDEX(Inputs!$B$12:$B$16,MATCH(C13,Inputs!$A$12:$A$16,0))</f>
        <v>661.7376</v>
      </c>
      <c r="G13" s="34" t="n">
        <f aca="false">E13*INDEX(Inputs!$D$6:$D$8,MATCH(D13,Inputs!$B$6:$B$8,1))*INDEX(Inputs!$B$12:$B$16,MATCH(C13,Inputs!$A$12:$A$16,0))</f>
        <v>882.3168</v>
      </c>
      <c r="H13" s="34" t="n">
        <f aca="false">E13*INDEX(Inputs!$E$6:$E$8,MATCH(D13,Inputs!$B$6:$B$8,1))*INDEX(Inputs!$B$12:$B$16,MATCH(C13,Inputs!$A$12:$A$16,0))</f>
        <v>1102.896</v>
      </c>
    </row>
    <row r="14" customFormat="false" ht="15" hidden="false" customHeight="false" outlineLevel="0" collapsed="false">
      <c r="A14" s="31" t="s">
        <v>121</v>
      </c>
      <c r="B14" s="33" t="n">
        <f aca="false">B13</f>
        <v>999</v>
      </c>
      <c r="C14" s="31" t="s">
        <v>59</v>
      </c>
      <c r="D14" s="32" t="n">
        <f aca="false">B14*(1-IF(INDEX(Inputs!$C$12:$C$16,MATCH(C14,Inputs!$A$12:$A$16,0))="Yes",Inputs!$B$30,0))</f>
        <v>999</v>
      </c>
      <c r="E14" s="33" t="n">
        <f aca="false">D14*12</f>
        <v>11988</v>
      </c>
      <c r="F14" s="34" t="n">
        <f aca="false">E14*INDEX(Inputs!$C$6:$C$8,MATCH(D14,Inputs!$B$6:$B$8,1))*INDEX(Inputs!$B$12:$B$16,MATCH(C14,Inputs!$A$12:$A$16,0))</f>
        <v>287.712</v>
      </c>
      <c r="G14" s="34" t="n">
        <f aca="false">E14*INDEX(Inputs!$D$6:$D$8,MATCH(D14,Inputs!$B$6:$B$8,1))*INDEX(Inputs!$B$12:$B$16,MATCH(C14,Inputs!$A$12:$A$16,0))</f>
        <v>383.616</v>
      </c>
      <c r="H14" s="34" t="n">
        <f aca="false">E14*INDEX(Inputs!$E$6:$E$8,MATCH(D14,Inputs!$B$6:$B$8,1))*INDEX(Inputs!$B$12:$B$16,MATCH(C14,Inputs!$A$12:$A$16,0))</f>
        <v>479.52</v>
      </c>
    </row>
    <row r="15" customFormat="false" ht="15" hidden="false" customHeight="false" outlineLevel="0" collapsed="false">
      <c r="A15" s="24" t="s">
        <v>122</v>
      </c>
      <c r="B15" s="11" t="n">
        <v>2000</v>
      </c>
      <c r="C15" s="25" t="s">
        <v>47</v>
      </c>
      <c r="D15" s="26" t="n">
        <f aca="false">B15*(1-IF(INDEX(Inputs!$C$12:$C$16,MATCH(C15,Inputs!$A$12:$A$16,0))="Yes",Inputs!$B$30,0))</f>
        <v>1600</v>
      </c>
      <c r="E15" s="27" t="n">
        <f aca="false">D15*12</f>
        <v>19200</v>
      </c>
      <c r="F15" s="28" t="n">
        <f aca="false">E15*INDEX(Inputs!$C$6:$C$8,MATCH(D15,Inputs!$B$6:$B$8,1))*INDEX(Inputs!$B$12:$B$16,MATCH(C15,Inputs!$A$12:$A$16,0))</f>
        <v>1344</v>
      </c>
      <c r="G15" s="28" t="n">
        <f aca="false">E15*INDEX(Inputs!$D$6:$D$8,MATCH(D15,Inputs!$B$6:$B$8,1))*INDEX(Inputs!$B$12:$B$16,MATCH(C15,Inputs!$A$12:$A$16,0))</f>
        <v>1728</v>
      </c>
      <c r="H15" s="28" t="n">
        <f aca="false">E15*INDEX(Inputs!$E$6:$E$8,MATCH(D15,Inputs!$B$6:$B$8,1))*INDEX(Inputs!$B$12:$B$16,MATCH(C15,Inputs!$A$12:$A$16,0))</f>
        <v>2304</v>
      </c>
    </row>
    <row r="16" customFormat="false" ht="15" hidden="false" customHeight="false" outlineLevel="0" collapsed="false">
      <c r="A16" s="25" t="s">
        <v>122</v>
      </c>
      <c r="B16" s="27" t="n">
        <f aca="false">B15</f>
        <v>2000</v>
      </c>
      <c r="C16" s="25" t="s">
        <v>51</v>
      </c>
      <c r="D16" s="26" t="n">
        <f aca="false">B16*(1-IF(INDEX(Inputs!$C$12:$C$16,MATCH(C16,Inputs!$A$12:$A$16,0))="Yes",Inputs!$B$30,0))</f>
        <v>1600</v>
      </c>
      <c r="E16" s="27" t="n">
        <f aca="false">D16*12</f>
        <v>19200</v>
      </c>
      <c r="F16" s="28" t="n">
        <f aca="false">E16*INDEX(Inputs!$C$6:$C$8,MATCH(D16,Inputs!$B$6:$B$8,1))*INDEX(Inputs!$B$12:$B$16,MATCH(C16,Inputs!$A$12:$A$16,0))</f>
        <v>1008</v>
      </c>
      <c r="G16" s="28" t="n">
        <f aca="false">E16*INDEX(Inputs!$D$6:$D$8,MATCH(D16,Inputs!$B$6:$B$8,1))*INDEX(Inputs!$B$12:$B$16,MATCH(C16,Inputs!$A$12:$A$16,0))</f>
        <v>1296</v>
      </c>
      <c r="H16" s="28" t="n">
        <f aca="false">E16*INDEX(Inputs!$E$6:$E$8,MATCH(D16,Inputs!$B$6:$B$8,1))*INDEX(Inputs!$B$12:$B$16,MATCH(C16,Inputs!$A$12:$A$16,0))</f>
        <v>1728</v>
      </c>
    </row>
    <row r="17" customFormat="false" ht="15" hidden="false" customHeight="false" outlineLevel="0" collapsed="false">
      <c r="A17" s="25" t="s">
        <v>122</v>
      </c>
      <c r="B17" s="27" t="n">
        <f aca="false">B16</f>
        <v>2000</v>
      </c>
      <c r="C17" s="25" t="s">
        <v>54</v>
      </c>
      <c r="D17" s="26" t="n">
        <f aca="false">B17*(1-IF(INDEX(Inputs!$C$12:$C$16,MATCH(C17,Inputs!$A$12:$A$16,0))="Yes",Inputs!$B$30,0))</f>
        <v>1600</v>
      </c>
      <c r="E17" s="27" t="n">
        <f aca="false">D17*12</f>
        <v>19200</v>
      </c>
      <c r="F17" s="28" t="n">
        <f aca="false">E17*INDEX(Inputs!$C$6:$C$8,MATCH(D17,Inputs!$B$6:$B$8,1))*INDEX(Inputs!$B$12:$B$16,MATCH(C17,Inputs!$A$12:$A$16,0))</f>
        <v>1747.2</v>
      </c>
      <c r="G17" s="28" t="n">
        <f aca="false">E17*INDEX(Inputs!$D$6:$D$8,MATCH(D17,Inputs!$B$6:$B$8,1))*INDEX(Inputs!$B$12:$B$16,MATCH(C17,Inputs!$A$12:$A$16,0))</f>
        <v>2246.4</v>
      </c>
      <c r="H17" s="28" t="n">
        <f aca="false">E17*INDEX(Inputs!$E$6:$E$8,MATCH(D17,Inputs!$B$6:$B$8,1))*INDEX(Inputs!$B$12:$B$16,MATCH(C17,Inputs!$A$12:$A$16,0))</f>
        <v>2995.2</v>
      </c>
    </row>
    <row r="18" customFormat="false" ht="15" hidden="false" customHeight="false" outlineLevel="0" collapsed="false">
      <c r="A18" s="25" t="s">
        <v>122</v>
      </c>
      <c r="B18" s="27" t="n">
        <f aca="false">B17</f>
        <v>2000</v>
      </c>
      <c r="C18" s="25" t="s">
        <v>56</v>
      </c>
      <c r="D18" s="26" t="n">
        <f aca="false">B18*(1-IF(INDEX(Inputs!$C$12:$C$16,MATCH(C18,Inputs!$A$12:$A$16,0))="Yes",Inputs!$B$30,0))</f>
        <v>1600</v>
      </c>
      <c r="E18" s="27" t="n">
        <f aca="false">D18*12</f>
        <v>19200</v>
      </c>
      <c r="F18" s="28" t="n">
        <f aca="false">E18*INDEX(Inputs!$C$6:$C$8,MATCH(D18,Inputs!$B$6:$B$8,1))*INDEX(Inputs!$B$12:$B$16,MATCH(C18,Inputs!$A$12:$A$16,0))</f>
        <v>1545.6</v>
      </c>
      <c r="G18" s="28" t="n">
        <f aca="false">E18*INDEX(Inputs!$D$6:$D$8,MATCH(D18,Inputs!$B$6:$B$8,1))*INDEX(Inputs!$B$12:$B$16,MATCH(C18,Inputs!$A$12:$A$16,0))</f>
        <v>1987.2</v>
      </c>
      <c r="H18" s="28" t="n">
        <f aca="false">E18*INDEX(Inputs!$E$6:$E$8,MATCH(D18,Inputs!$B$6:$B$8,1))*INDEX(Inputs!$B$12:$B$16,MATCH(C18,Inputs!$A$12:$A$16,0))</f>
        <v>2649.6</v>
      </c>
    </row>
    <row r="19" customFormat="false" ht="15" hidden="false" customHeight="false" outlineLevel="0" collapsed="false">
      <c r="A19" s="25" t="s">
        <v>122</v>
      </c>
      <c r="B19" s="27" t="n">
        <f aca="false">B18</f>
        <v>2000</v>
      </c>
      <c r="C19" s="25" t="s">
        <v>59</v>
      </c>
      <c r="D19" s="26" t="n">
        <f aca="false">B19*(1-IF(INDEX(Inputs!$C$12:$C$16,MATCH(C19,Inputs!$A$12:$A$16,0))="Yes",Inputs!$B$30,0))</f>
        <v>2000</v>
      </c>
      <c r="E19" s="27" t="n">
        <f aca="false">D19*12</f>
        <v>24000</v>
      </c>
      <c r="F19" s="28" t="n">
        <f aca="false">E19*INDEX(Inputs!$C$6:$C$8,MATCH(D19,Inputs!$B$6:$B$8,1))*INDEX(Inputs!$B$12:$B$16,MATCH(C19,Inputs!$A$12:$A$16,0))</f>
        <v>672</v>
      </c>
      <c r="G19" s="28" t="n">
        <f aca="false">E19*INDEX(Inputs!$D$6:$D$8,MATCH(D19,Inputs!$B$6:$B$8,1))*INDEX(Inputs!$B$12:$B$16,MATCH(C19,Inputs!$A$12:$A$16,0))</f>
        <v>864</v>
      </c>
      <c r="H19" s="28" t="n">
        <f aca="false">E19*INDEX(Inputs!$E$6:$E$8,MATCH(D19,Inputs!$B$6:$B$8,1))*INDEX(Inputs!$B$12:$B$16,MATCH(C19,Inputs!$A$12:$A$16,0))</f>
        <v>1152</v>
      </c>
    </row>
    <row r="20" customFormat="false" ht="15" hidden="false" customHeight="false" outlineLevel="0" collapsed="false">
      <c r="A20" s="29" t="s">
        <v>123</v>
      </c>
      <c r="B20" s="30" t="n">
        <v>4000</v>
      </c>
      <c r="C20" s="31" t="s">
        <v>47</v>
      </c>
      <c r="D20" s="32" t="n">
        <f aca="false">B20*(1-IF(INDEX(Inputs!$C$12:$C$16,MATCH(C20,Inputs!$A$12:$A$16,0))="Yes",Inputs!$B$30,0))</f>
        <v>3200</v>
      </c>
      <c r="E20" s="33" t="n">
        <f aca="false">D20*12</f>
        <v>38400</v>
      </c>
      <c r="F20" s="34" t="n">
        <f aca="false">E20*INDEX(Inputs!$C$6:$C$8,MATCH(D20,Inputs!$B$6:$B$8,1))*INDEX(Inputs!$B$12:$B$16,MATCH(C20,Inputs!$A$12:$A$16,0))</f>
        <v>3072</v>
      </c>
      <c r="G20" s="34" t="n">
        <f aca="false">E20*INDEX(Inputs!$D$6:$D$8,MATCH(D20,Inputs!$B$6:$B$8,1))*INDEX(Inputs!$B$12:$B$16,MATCH(C20,Inputs!$A$12:$A$16,0))</f>
        <v>3840</v>
      </c>
      <c r="H20" s="34" t="n">
        <f aca="false">E20*INDEX(Inputs!$E$6:$E$8,MATCH(D20,Inputs!$B$6:$B$8,1))*INDEX(Inputs!$B$12:$B$16,MATCH(C20,Inputs!$A$12:$A$16,0))</f>
        <v>5376</v>
      </c>
    </row>
    <row r="21" customFormat="false" ht="15" hidden="false" customHeight="false" outlineLevel="0" collapsed="false">
      <c r="A21" s="31" t="s">
        <v>123</v>
      </c>
      <c r="B21" s="33" t="n">
        <f aca="false">B20</f>
        <v>4000</v>
      </c>
      <c r="C21" s="31" t="s">
        <v>51</v>
      </c>
      <c r="D21" s="32" t="n">
        <f aca="false">B21*(1-IF(INDEX(Inputs!$C$12:$C$16,MATCH(C21,Inputs!$A$12:$A$16,0))="Yes",Inputs!$B$30,0))</f>
        <v>3200</v>
      </c>
      <c r="E21" s="33" t="n">
        <f aca="false">D21*12</f>
        <v>38400</v>
      </c>
      <c r="F21" s="34" t="n">
        <f aca="false">E21*INDEX(Inputs!$C$6:$C$8,MATCH(D21,Inputs!$B$6:$B$8,1))*INDEX(Inputs!$B$12:$B$16,MATCH(C21,Inputs!$A$12:$A$16,0))</f>
        <v>2304</v>
      </c>
      <c r="G21" s="34" t="n">
        <f aca="false">E21*INDEX(Inputs!$D$6:$D$8,MATCH(D21,Inputs!$B$6:$B$8,1))*INDEX(Inputs!$B$12:$B$16,MATCH(C21,Inputs!$A$12:$A$16,0))</f>
        <v>2880</v>
      </c>
      <c r="H21" s="34" t="n">
        <f aca="false">E21*INDEX(Inputs!$E$6:$E$8,MATCH(D21,Inputs!$B$6:$B$8,1))*INDEX(Inputs!$B$12:$B$16,MATCH(C21,Inputs!$A$12:$A$16,0))</f>
        <v>4032</v>
      </c>
    </row>
    <row r="22" customFormat="false" ht="15" hidden="false" customHeight="false" outlineLevel="0" collapsed="false">
      <c r="A22" s="31" t="s">
        <v>123</v>
      </c>
      <c r="B22" s="33" t="n">
        <f aca="false">B21</f>
        <v>4000</v>
      </c>
      <c r="C22" s="31" t="s">
        <v>54</v>
      </c>
      <c r="D22" s="32" t="n">
        <f aca="false">B22*(1-IF(INDEX(Inputs!$C$12:$C$16,MATCH(C22,Inputs!$A$12:$A$16,0))="Yes",Inputs!$B$30,0))</f>
        <v>3200</v>
      </c>
      <c r="E22" s="33" t="n">
        <f aca="false">D22*12</f>
        <v>38400</v>
      </c>
      <c r="F22" s="34" t="n">
        <f aca="false">E22*INDEX(Inputs!$C$6:$C$8,MATCH(D22,Inputs!$B$6:$B$8,1))*INDEX(Inputs!$B$12:$B$16,MATCH(C22,Inputs!$A$12:$A$16,0))</f>
        <v>3993.6</v>
      </c>
      <c r="G22" s="34" t="n">
        <f aca="false">E22*INDEX(Inputs!$D$6:$D$8,MATCH(D22,Inputs!$B$6:$B$8,1))*INDEX(Inputs!$B$12:$B$16,MATCH(C22,Inputs!$A$12:$A$16,0))</f>
        <v>4992</v>
      </c>
      <c r="H22" s="34" t="n">
        <f aca="false">E22*INDEX(Inputs!$E$6:$E$8,MATCH(D22,Inputs!$B$6:$B$8,1))*INDEX(Inputs!$B$12:$B$16,MATCH(C22,Inputs!$A$12:$A$16,0))</f>
        <v>6988.8</v>
      </c>
    </row>
    <row r="23" customFormat="false" ht="15" hidden="false" customHeight="false" outlineLevel="0" collapsed="false">
      <c r="A23" s="31" t="s">
        <v>123</v>
      </c>
      <c r="B23" s="33" t="n">
        <f aca="false">B22</f>
        <v>4000</v>
      </c>
      <c r="C23" s="31" t="s">
        <v>56</v>
      </c>
      <c r="D23" s="32" t="n">
        <f aca="false">B23*(1-IF(INDEX(Inputs!$C$12:$C$16,MATCH(C23,Inputs!$A$12:$A$16,0))="Yes",Inputs!$B$30,0))</f>
        <v>3200</v>
      </c>
      <c r="E23" s="33" t="n">
        <f aca="false">D23*12</f>
        <v>38400</v>
      </c>
      <c r="F23" s="34" t="n">
        <f aca="false">E23*INDEX(Inputs!$C$6:$C$8,MATCH(D23,Inputs!$B$6:$B$8,1))*INDEX(Inputs!$B$12:$B$16,MATCH(C23,Inputs!$A$12:$A$16,0))</f>
        <v>3532.8</v>
      </c>
      <c r="G23" s="34" t="n">
        <f aca="false">E23*INDEX(Inputs!$D$6:$D$8,MATCH(D23,Inputs!$B$6:$B$8,1))*INDEX(Inputs!$B$12:$B$16,MATCH(C23,Inputs!$A$12:$A$16,0))</f>
        <v>4416</v>
      </c>
      <c r="H23" s="34" t="n">
        <f aca="false">E23*INDEX(Inputs!$E$6:$E$8,MATCH(D23,Inputs!$B$6:$B$8,1))*INDEX(Inputs!$B$12:$B$16,MATCH(C23,Inputs!$A$12:$A$16,0))</f>
        <v>6182.4</v>
      </c>
    </row>
    <row r="24" customFormat="false" ht="15" hidden="false" customHeight="false" outlineLevel="0" collapsed="false">
      <c r="A24" s="31" t="s">
        <v>123</v>
      </c>
      <c r="B24" s="33" t="n">
        <f aca="false">B23</f>
        <v>4000</v>
      </c>
      <c r="C24" s="31" t="s">
        <v>59</v>
      </c>
      <c r="D24" s="32" t="n">
        <f aca="false">B24*(1-IF(INDEX(Inputs!$C$12:$C$16,MATCH(C24,Inputs!$A$12:$A$16,0))="Yes",Inputs!$B$30,0))</f>
        <v>4000</v>
      </c>
      <c r="E24" s="33" t="n">
        <f aca="false">D24*12</f>
        <v>48000</v>
      </c>
      <c r="F24" s="34" t="n">
        <f aca="false">E24*INDEX(Inputs!$C$6:$C$8,MATCH(D24,Inputs!$B$6:$B$8,1))*INDEX(Inputs!$B$12:$B$16,MATCH(C24,Inputs!$A$12:$A$16,0))</f>
        <v>1536</v>
      </c>
      <c r="G24" s="34" t="n">
        <f aca="false">E24*INDEX(Inputs!$D$6:$D$8,MATCH(D24,Inputs!$B$6:$B$8,1))*INDEX(Inputs!$B$12:$B$16,MATCH(C24,Inputs!$A$12:$A$16,0))</f>
        <v>1920</v>
      </c>
      <c r="H24" s="34" t="n">
        <f aca="false">E24*INDEX(Inputs!$E$6:$E$8,MATCH(D24,Inputs!$B$6:$B$8,1))*INDEX(Inputs!$B$12:$B$16,MATCH(C24,Inputs!$A$12:$A$16,0))</f>
        <v>2688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4" min="12" style="0" width="10"/>
    <col collapsed="false" customWidth="true" hidden="false" outlineLevel="0" max="15" min="15" style="0" width="13"/>
    <col collapsed="false" customWidth="true" hidden="false" outlineLevel="0" max="16" min="16" style="0" width="36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5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6" t="s">
        <v>125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9.55" hidden="false" customHeight="false" outlineLevel="0" collapsed="false">
      <c r="A4" s="9" t="s">
        <v>126</v>
      </c>
      <c r="B4" s="9" t="s">
        <v>127</v>
      </c>
      <c r="C4" s="9" t="s">
        <v>128</v>
      </c>
      <c r="D4" s="9" t="s">
        <v>113</v>
      </c>
      <c r="E4" s="9" t="s">
        <v>115</v>
      </c>
      <c r="F4" s="9" t="s">
        <v>129</v>
      </c>
      <c r="G4" s="9" t="s">
        <v>43</v>
      </c>
      <c r="H4" s="9" t="s">
        <v>130</v>
      </c>
      <c r="I4" s="9" t="s">
        <v>116</v>
      </c>
      <c r="J4" s="9" t="s">
        <v>131</v>
      </c>
      <c r="K4" s="9" t="s">
        <v>30</v>
      </c>
      <c r="L4" s="9" t="s">
        <v>132</v>
      </c>
      <c r="M4" s="9" t="s">
        <v>133</v>
      </c>
      <c r="N4" s="9" t="s">
        <v>134</v>
      </c>
      <c r="O4" s="9" t="s">
        <v>135</v>
      </c>
      <c r="P4" s="9" t="s">
        <v>136</v>
      </c>
      <c r="Q4" s="9" t="s">
        <v>137</v>
      </c>
    </row>
    <row r="5" customFormat="false" ht="15" hidden="false" customHeight="false" outlineLevel="0" collapsed="false">
      <c r="A5" s="35" t="n">
        <v>46330</v>
      </c>
      <c r="B5" s="36" t="n">
        <f aca="false">IF(A5="","",DATE(YEAR(A5),MONTH(A5),1))</f>
        <v>46327</v>
      </c>
      <c r="C5" s="14" t="s">
        <v>138</v>
      </c>
      <c r="D5" s="14" t="s">
        <v>120</v>
      </c>
      <c r="E5" s="37" t="n">
        <v>399.2</v>
      </c>
      <c r="F5" s="38" t="n">
        <v>12</v>
      </c>
      <c r="G5" s="14" t="s">
        <v>47</v>
      </c>
      <c r="H5" s="14" t="s">
        <v>67</v>
      </c>
      <c r="I5" s="39" t="n">
        <f aca="false">IF(E5="","",E5*12)</f>
        <v>4790.4</v>
      </c>
      <c r="J5" s="39" t="n">
        <f aca="false">IF(OR(E5="",F5=""),"",E5*F5)</f>
        <v>4790.4</v>
      </c>
      <c r="K5" s="40" t="str">
        <f aca="false">IF(E5="","",INDEX(Inputs!$A$6:$A$8,MATCH(E5,Inputs!$B$6:$B$8,1)))</f>
        <v>&lt; $1,000/mo (Growth, Scale)</v>
      </c>
      <c r="L5" s="41" t="n">
        <f aca="false">IF(OR(E5="",H5=""),"",INDEX(Inputs!$C$6:$E$8,MATCH(E5,Inputs!$B$6:$B$8,1),MATCH(H5,Inputs!$A$20:$A$22,0)))</f>
        <v>0.06</v>
      </c>
      <c r="M5" s="42" t="n">
        <f aca="false">IF(G5="","",INDEX(Inputs!$B$12:$B$16,MATCH(G5,Inputs!$A$12:$A$16,0)))</f>
        <v>1</v>
      </c>
      <c r="N5" s="43" t="n">
        <f aca="false">IF(OR(L5="",M5=""),"",L5*M5)</f>
        <v>0.06</v>
      </c>
      <c r="O5" s="39" t="n">
        <f aca="false">IF(OR(I5="",N5=""),0,I5*N5)</f>
        <v>287.424</v>
      </c>
      <c r="P5" s="40" t="str">
        <f aca="false">IF(G5="","",INDEX(Inputs!$D$12:$D$16,MATCH(G5,Inputs!$A$12:$A$16,0)))</f>
        <v>100% when invoice is paid</v>
      </c>
      <c r="Q5" s="14"/>
    </row>
    <row r="6" customFormat="false" ht="15" hidden="false" customHeight="false" outlineLevel="0" collapsed="false">
      <c r="A6" s="35" t="n">
        <v>46334</v>
      </c>
      <c r="B6" s="36" t="n">
        <f aca="false">IF(A6="","",DATE(YEAR(A6),MONTH(A6),1))</f>
        <v>46327</v>
      </c>
      <c r="C6" s="14" t="s">
        <v>139</v>
      </c>
      <c r="D6" s="14" t="s">
        <v>121</v>
      </c>
      <c r="E6" s="37" t="n">
        <v>799.2</v>
      </c>
      <c r="F6" s="38" t="n">
        <v>12</v>
      </c>
      <c r="G6" s="14" t="s">
        <v>51</v>
      </c>
      <c r="H6" s="14" t="s">
        <v>67</v>
      </c>
      <c r="I6" s="39" t="n">
        <f aca="false">IF(E6="","",E6*12)</f>
        <v>9590.4</v>
      </c>
      <c r="J6" s="39" t="n">
        <f aca="false">IF(OR(E6="",F6=""),"",E6*F6)</f>
        <v>9590.4</v>
      </c>
      <c r="K6" s="40" t="str">
        <f aca="false">IF(E6="","",INDEX(Inputs!$A$6:$A$8,MATCH(E6,Inputs!$B$6:$B$8,1)))</f>
        <v>&lt; $1,000/mo (Growth, Scale)</v>
      </c>
      <c r="L6" s="41" t="n">
        <f aca="false">IF(OR(E6="",H6=""),"",INDEX(Inputs!$C$6:$E$8,MATCH(E6,Inputs!$B$6:$B$8,1),MATCH(H6,Inputs!$A$20:$A$22,0)))</f>
        <v>0.06</v>
      </c>
      <c r="M6" s="42" t="n">
        <f aca="false">IF(G6="","",INDEX(Inputs!$B$12:$B$16,MATCH(G6,Inputs!$A$12:$A$16,0)))</f>
        <v>0.75</v>
      </c>
      <c r="N6" s="43" t="n">
        <f aca="false">IF(OR(L6="",M6=""),"",L6*M6)</f>
        <v>0.045</v>
      </c>
      <c r="O6" s="39" t="n">
        <f aca="false">IF(OR(I6="",N6=""),0,I6*N6)</f>
        <v>431.568</v>
      </c>
      <c r="P6" s="40" t="str">
        <f aca="false">IF(G6="","",INDEX(Inputs!$D$12:$D$16,MATCH(G6,Inputs!$A$12:$A$16,0)))</f>
        <v>50% after 1st payment, 50% after 6th payment</v>
      </c>
      <c r="Q6" s="14"/>
    </row>
    <row r="7" customFormat="false" ht="15" hidden="false" customHeight="false" outlineLevel="0" collapsed="false">
      <c r="A7" s="35" t="n">
        <v>46338</v>
      </c>
      <c r="B7" s="36" t="n">
        <f aca="false">IF(A7="","",DATE(YEAR(A7),MONTH(A7),1))</f>
        <v>46327</v>
      </c>
      <c r="C7" s="14" t="s">
        <v>140</v>
      </c>
      <c r="D7" s="14" t="s">
        <v>122</v>
      </c>
      <c r="E7" s="37" t="n">
        <v>1600</v>
      </c>
      <c r="F7" s="38" t="n">
        <v>24</v>
      </c>
      <c r="G7" s="14" t="s">
        <v>54</v>
      </c>
      <c r="H7" s="14" t="s">
        <v>34</v>
      </c>
      <c r="I7" s="39" t="n">
        <f aca="false">IF(E7="","",E7*12)</f>
        <v>19200</v>
      </c>
      <c r="J7" s="39" t="n">
        <f aca="false">IF(OR(E7="",F7=""),"",E7*F7)</f>
        <v>38400</v>
      </c>
      <c r="K7" s="40" t="str">
        <f aca="false">IF(E7="","",INDEX(Inputs!$A$6:$A$8,MATCH(E7,Inputs!$B$6:$B$8,1)))</f>
        <v>$1,000–$3,000/mo (Agency)</v>
      </c>
      <c r="L7" s="41" t="n">
        <f aca="false">IF(OR(E7="",H7=""),"",INDEX(Inputs!$C$6:$E$8,MATCH(E7,Inputs!$B$6:$B$8,1),MATCH(H7,Inputs!$A$20:$A$22,0)))</f>
        <v>0.12</v>
      </c>
      <c r="M7" s="42" t="n">
        <f aca="false">IF(G7="","",INDEX(Inputs!$B$12:$B$16,MATCH(G7,Inputs!$A$12:$A$16,0)))</f>
        <v>1.3</v>
      </c>
      <c r="N7" s="43" t="n">
        <f aca="false">IF(OR(L7="",M7=""),"",L7*M7)</f>
        <v>0.156</v>
      </c>
      <c r="O7" s="39" t="n">
        <f aca="false">IF(OR(I7="",N7=""),0,I7*N7)</f>
        <v>2995.2</v>
      </c>
      <c r="P7" s="40" t="str">
        <f aca="false">IF(G7="","",INDEX(Inputs!$D$12:$D$16,MATCH(G7,Inputs!$A$12:$A$16,0)))</f>
        <v>100% when invoice is paid</v>
      </c>
      <c r="Q7" s="14"/>
    </row>
    <row r="8" customFormat="false" ht="15" hidden="false" customHeight="false" outlineLevel="0" collapsed="false">
      <c r="A8" s="35" t="n">
        <v>46344</v>
      </c>
      <c r="B8" s="36" t="n">
        <f aca="false">IF(A8="","",DATE(YEAR(A8),MONTH(A8),1))</f>
        <v>46327</v>
      </c>
      <c r="C8" s="14" t="s">
        <v>141</v>
      </c>
      <c r="D8" s="14" t="s">
        <v>120</v>
      </c>
      <c r="E8" s="37" t="n">
        <v>499</v>
      </c>
      <c r="F8" s="38" t="n">
        <v>1</v>
      </c>
      <c r="G8" s="14" t="s">
        <v>59</v>
      </c>
      <c r="H8" s="14" t="s">
        <v>67</v>
      </c>
      <c r="I8" s="39" t="n">
        <f aca="false">IF(E8="","",E8*12)</f>
        <v>5988</v>
      </c>
      <c r="J8" s="39" t="n">
        <f aca="false">IF(OR(E8="",F8=""),"",E8*F8)</f>
        <v>499</v>
      </c>
      <c r="K8" s="40" t="str">
        <f aca="false">IF(E8="","",INDEX(Inputs!$A$6:$A$8,MATCH(E8,Inputs!$B$6:$B$8,1)))</f>
        <v>&lt; $1,000/mo (Growth, Scale)</v>
      </c>
      <c r="L8" s="41" t="n">
        <f aca="false">IF(OR(E8="",H8=""),"",INDEX(Inputs!$C$6:$E$8,MATCH(E8,Inputs!$B$6:$B$8,1),MATCH(H8,Inputs!$A$20:$A$22,0)))</f>
        <v>0.06</v>
      </c>
      <c r="M8" s="42" t="n">
        <f aca="false">IF(G8="","",INDEX(Inputs!$B$12:$B$16,MATCH(G8,Inputs!$A$12:$A$16,0)))</f>
        <v>0.4</v>
      </c>
      <c r="N8" s="43" t="n">
        <f aca="false">IF(OR(L8="",M8=""),"",L8*M8)</f>
        <v>0.024</v>
      </c>
      <c r="O8" s="39" t="n">
        <f aca="false">IF(OR(I8="",N8=""),0,I8*N8)</f>
        <v>143.712</v>
      </c>
      <c r="P8" s="40" t="str">
        <f aca="false">IF(G8="","",INDEX(Inputs!$D$12:$D$16,MATCH(G8,Inputs!$A$12:$A$16,0)))</f>
        <v>100% after 3rd monthly payment</v>
      </c>
      <c r="Q8" s="14"/>
    </row>
    <row r="9" customFormat="false" ht="15" hidden="false" customHeight="false" outlineLevel="0" collapsed="false">
      <c r="A9" s="35" t="n">
        <v>46351</v>
      </c>
      <c r="B9" s="36" t="n">
        <f aca="false">IF(A9="","",DATE(YEAR(A9),MONTH(A9),1))</f>
        <v>46327</v>
      </c>
      <c r="C9" s="14" t="s">
        <v>142</v>
      </c>
      <c r="D9" s="14" t="s">
        <v>123</v>
      </c>
      <c r="E9" s="37" t="n">
        <v>3500</v>
      </c>
      <c r="F9" s="38" t="n">
        <v>12</v>
      </c>
      <c r="G9" s="14" t="s">
        <v>47</v>
      </c>
      <c r="H9" s="14" t="s">
        <v>33</v>
      </c>
      <c r="I9" s="39" t="n">
        <f aca="false">IF(E9="","",E9*12)</f>
        <v>42000</v>
      </c>
      <c r="J9" s="39" t="n">
        <f aca="false">IF(OR(E9="",F9=""),"",E9*F9)</f>
        <v>42000</v>
      </c>
      <c r="K9" s="40" t="str">
        <f aca="false">IF(E9="","",INDEX(Inputs!$A$6:$A$8,MATCH(E9,Inputs!$B$6:$B$8,1)))</f>
        <v>$3,000+/mo (Enterprise / custom)</v>
      </c>
      <c r="L9" s="41" t="n">
        <f aca="false">IF(OR(E9="",H9=""),"",INDEX(Inputs!$C$6:$E$8,MATCH(E9,Inputs!$B$6:$B$8,1),MATCH(H9,Inputs!$A$20:$A$22,0)))</f>
        <v>0.1</v>
      </c>
      <c r="M9" s="42" t="n">
        <f aca="false">IF(G9="","",INDEX(Inputs!$B$12:$B$16,MATCH(G9,Inputs!$A$12:$A$16,0)))</f>
        <v>1</v>
      </c>
      <c r="N9" s="43" t="n">
        <f aca="false">IF(OR(L9="",M9=""),"",L9*M9)</f>
        <v>0.1</v>
      </c>
      <c r="O9" s="39" t="n">
        <f aca="false">IF(OR(I9="",N9=""),0,I9*N9)</f>
        <v>4200</v>
      </c>
      <c r="P9" s="40" t="str">
        <f aca="false">IF(G9="","",INDEX(Inputs!$D$12:$D$16,MATCH(G9,Inputs!$A$12:$A$16,0)))</f>
        <v>100% when invoice is paid</v>
      </c>
      <c r="Q9" s="14"/>
    </row>
    <row r="10" customFormat="false" ht="15" hidden="false" customHeight="false" outlineLevel="0" collapsed="false">
      <c r="A10" s="35" t="n">
        <v>46359</v>
      </c>
      <c r="B10" s="36" t="n">
        <f aca="false">IF(A10="","",DATE(YEAR(A10),MONTH(A10),1))</f>
        <v>46357</v>
      </c>
      <c r="C10" s="14" t="s">
        <v>143</v>
      </c>
      <c r="D10" s="14" t="s">
        <v>121</v>
      </c>
      <c r="E10" s="37" t="n">
        <v>799.2</v>
      </c>
      <c r="F10" s="38" t="n">
        <v>12</v>
      </c>
      <c r="G10" s="14" t="s">
        <v>47</v>
      </c>
      <c r="H10" s="14" t="s">
        <v>34</v>
      </c>
      <c r="I10" s="39" t="n">
        <f aca="false">IF(E10="","",E10*12)</f>
        <v>9590.4</v>
      </c>
      <c r="J10" s="39" t="n">
        <f aca="false">IF(OR(E10="",F10=""),"",E10*F10)</f>
        <v>9590.4</v>
      </c>
      <c r="K10" s="40" t="str">
        <f aca="false">IF(E10="","",INDEX(Inputs!$A$6:$A$8,MATCH(E10,Inputs!$B$6:$B$8,1)))</f>
        <v>&lt; $1,000/mo (Growth, Scale)</v>
      </c>
      <c r="L10" s="41" t="n">
        <f aca="false">IF(OR(E10="",H10=""),"",INDEX(Inputs!$C$6:$E$8,MATCH(E10,Inputs!$B$6:$B$8,1),MATCH(H10,Inputs!$A$20:$A$22,0)))</f>
        <v>0.1</v>
      </c>
      <c r="M10" s="42" t="n">
        <f aca="false">IF(G10="","",INDEX(Inputs!$B$12:$B$16,MATCH(G10,Inputs!$A$12:$A$16,0)))</f>
        <v>1</v>
      </c>
      <c r="N10" s="43" t="n">
        <f aca="false">IF(OR(L10="",M10=""),"",L10*M10)</f>
        <v>0.1</v>
      </c>
      <c r="O10" s="39" t="n">
        <f aca="false">IF(OR(I10="",N10=""),0,I10*N10)</f>
        <v>959.04</v>
      </c>
      <c r="P10" s="40" t="str">
        <f aca="false">IF(G10="","",INDEX(Inputs!$D$12:$D$16,MATCH(G10,Inputs!$A$12:$A$16,0)))</f>
        <v>100% when invoice is paid</v>
      </c>
      <c r="Q10" s="14"/>
    </row>
    <row r="11" customFormat="false" ht="15" hidden="false" customHeight="false" outlineLevel="0" collapsed="false">
      <c r="A11" s="35"/>
      <c r="B11" s="36" t="str">
        <f aca="false">IF(A11="","",DATE(YEAR(A11),MONTH(A11),1))</f>
        <v/>
      </c>
      <c r="C11" s="14"/>
      <c r="D11" s="14"/>
      <c r="E11" s="37"/>
      <c r="F11" s="38"/>
      <c r="G11" s="14"/>
      <c r="H11" s="14"/>
      <c r="I11" s="39" t="str">
        <f aca="false">IF(E11="","",E11*12)</f>
        <v/>
      </c>
      <c r="J11" s="39" t="str">
        <f aca="false">IF(OR(E11="",F11=""),"",E11*F11)</f>
        <v/>
      </c>
      <c r="K11" s="40" t="str">
        <f aca="false">IF(E11="","",INDEX(Inputs!$A$6:$A$8,MATCH(E11,Inputs!$B$6:$B$8,1)))</f>
        <v/>
      </c>
      <c r="L11" s="41" t="str">
        <f aca="false">IF(OR(E11="",H11=""),"",INDEX(Inputs!$C$6:$E$8,MATCH(E11,Inputs!$B$6:$B$8,1),MATCH(H11,Inputs!$A$20:$A$22,0)))</f>
        <v/>
      </c>
      <c r="M11" s="42" t="str">
        <f aca="false">IF(G11="","",INDEX(Inputs!$B$12:$B$16,MATCH(G11,Inputs!$A$12:$A$16,0)))</f>
        <v/>
      </c>
      <c r="N11" s="43" t="str">
        <f aca="false">IF(OR(L11="",M11=""),"",L11*M11)</f>
        <v/>
      </c>
      <c r="O11" s="39" t="n">
        <f aca="false">IF(OR(I11="",N11=""),0,I11*N11)</f>
        <v>0</v>
      </c>
      <c r="P11" s="40" t="str">
        <f aca="false">IF(G11="","",INDEX(Inputs!$D$12:$D$16,MATCH(G11,Inputs!$A$12:$A$16,0)))</f>
        <v/>
      </c>
      <c r="Q11" s="14"/>
    </row>
    <row r="12" customFormat="false" ht="15" hidden="false" customHeight="false" outlineLevel="0" collapsed="false">
      <c r="A12" s="35"/>
      <c r="B12" s="36" t="str">
        <f aca="false">IF(A12="","",DATE(YEAR(A12),MONTH(A12),1))</f>
        <v/>
      </c>
      <c r="C12" s="14"/>
      <c r="D12" s="14"/>
      <c r="E12" s="37"/>
      <c r="F12" s="38"/>
      <c r="G12" s="14"/>
      <c r="H12" s="14"/>
      <c r="I12" s="39" t="str">
        <f aca="false">IF(E12="","",E12*12)</f>
        <v/>
      </c>
      <c r="J12" s="39" t="str">
        <f aca="false">IF(OR(E12="",F12=""),"",E12*F12)</f>
        <v/>
      </c>
      <c r="K12" s="40" t="str">
        <f aca="false">IF(E12="","",INDEX(Inputs!$A$6:$A$8,MATCH(E12,Inputs!$B$6:$B$8,1)))</f>
        <v/>
      </c>
      <c r="L12" s="41" t="str">
        <f aca="false">IF(OR(E12="",H12=""),"",INDEX(Inputs!$C$6:$E$8,MATCH(E12,Inputs!$B$6:$B$8,1),MATCH(H12,Inputs!$A$20:$A$22,0)))</f>
        <v/>
      </c>
      <c r="M12" s="42" t="str">
        <f aca="false">IF(G12="","",INDEX(Inputs!$B$12:$B$16,MATCH(G12,Inputs!$A$12:$A$16,0)))</f>
        <v/>
      </c>
      <c r="N12" s="43" t="str">
        <f aca="false">IF(OR(L12="",M12=""),"",L12*M12)</f>
        <v/>
      </c>
      <c r="O12" s="39" t="n">
        <f aca="false">IF(OR(I12="",N12=""),0,I12*N12)</f>
        <v>0</v>
      </c>
      <c r="P12" s="40" t="str">
        <f aca="false">IF(G12="","",INDEX(Inputs!$D$12:$D$16,MATCH(G12,Inputs!$A$12:$A$16,0)))</f>
        <v/>
      </c>
      <c r="Q12" s="14"/>
    </row>
    <row r="13" customFormat="false" ht="15" hidden="false" customHeight="false" outlineLevel="0" collapsed="false">
      <c r="A13" s="35"/>
      <c r="B13" s="36" t="str">
        <f aca="false">IF(A13="","",DATE(YEAR(A13),MONTH(A13),1))</f>
        <v/>
      </c>
      <c r="C13" s="14"/>
      <c r="D13" s="14"/>
      <c r="E13" s="37"/>
      <c r="F13" s="38"/>
      <c r="G13" s="14"/>
      <c r="H13" s="14"/>
      <c r="I13" s="39" t="str">
        <f aca="false">IF(E13="","",E13*12)</f>
        <v/>
      </c>
      <c r="J13" s="39" t="str">
        <f aca="false">IF(OR(E13="",F13=""),"",E13*F13)</f>
        <v/>
      </c>
      <c r="K13" s="40" t="str">
        <f aca="false">IF(E13="","",INDEX(Inputs!$A$6:$A$8,MATCH(E13,Inputs!$B$6:$B$8,1)))</f>
        <v/>
      </c>
      <c r="L13" s="41" t="str">
        <f aca="false">IF(OR(E13="",H13=""),"",INDEX(Inputs!$C$6:$E$8,MATCH(E13,Inputs!$B$6:$B$8,1),MATCH(H13,Inputs!$A$20:$A$22,0)))</f>
        <v/>
      </c>
      <c r="M13" s="42" t="str">
        <f aca="false">IF(G13="","",INDEX(Inputs!$B$12:$B$16,MATCH(G13,Inputs!$A$12:$A$16,0)))</f>
        <v/>
      </c>
      <c r="N13" s="43" t="str">
        <f aca="false">IF(OR(L13="",M13=""),"",L13*M13)</f>
        <v/>
      </c>
      <c r="O13" s="39" t="n">
        <f aca="false">IF(OR(I13="",N13=""),0,I13*N13)</f>
        <v>0</v>
      </c>
      <c r="P13" s="40" t="str">
        <f aca="false">IF(G13="","",INDEX(Inputs!$D$12:$D$16,MATCH(G13,Inputs!$A$12:$A$16,0)))</f>
        <v/>
      </c>
      <c r="Q13" s="14"/>
    </row>
    <row r="14" customFormat="false" ht="15" hidden="false" customHeight="false" outlineLevel="0" collapsed="false">
      <c r="A14" s="35"/>
      <c r="B14" s="36" t="str">
        <f aca="false">IF(A14="","",DATE(YEAR(A14),MONTH(A14),1))</f>
        <v/>
      </c>
      <c r="C14" s="14"/>
      <c r="D14" s="14"/>
      <c r="E14" s="37"/>
      <c r="F14" s="38"/>
      <c r="G14" s="14"/>
      <c r="H14" s="14"/>
      <c r="I14" s="39" t="str">
        <f aca="false">IF(E14="","",E14*12)</f>
        <v/>
      </c>
      <c r="J14" s="39" t="str">
        <f aca="false">IF(OR(E14="",F14=""),"",E14*F14)</f>
        <v/>
      </c>
      <c r="K14" s="40" t="str">
        <f aca="false">IF(E14="","",INDEX(Inputs!$A$6:$A$8,MATCH(E14,Inputs!$B$6:$B$8,1)))</f>
        <v/>
      </c>
      <c r="L14" s="41" t="str">
        <f aca="false">IF(OR(E14="",H14=""),"",INDEX(Inputs!$C$6:$E$8,MATCH(E14,Inputs!$B$6:$B$8,1),MATCH(H14,Inputs!$A$20:$A$22,0)))</f>
        <v/>
      </c>
      <c r="M14" s="42" t="str">
        <f aca="false">IF(G14="","",INDEX(Inputs!$B$12:$B$16,MATCH(G14,Inputs!$A$12:$A$16,0)))</f>
        <v/>
      </c>
      <c r="N14" s="43" t="str">
        <f aca="false">IF(OR(L14="",M14=""),"",L14*M14)</f>
        <v/>
      </c>
      <c r="O14" s="39" t="n">
        <f aca="false">IF(OR(I14="",N14=""),0,I14*N14)</f>
        <v>0</v>
      </c>
      <c r="P14" s="40" t="str">
        <f aca="false">IF(G14="","",INDEX(Inputs!$D$12:$D$16,MATCH(G14,Inputs!$A$12:$A$16,0)))</f>
        <v/>
      </c>
      <c r="Q14" s="14"/>
    </row>
    <row r="15" customFormat="false" ht="15" hidden="false" customHeight="false" outlineLevel="0" collapsed="false">
      <c r="A15" s="35"/>
      <c r="B15" s="36" t="str">
        <f aca="false">IF(A15="","",DATE(YEAR(A15),MONTH(A15),1))</f>
        <v/>
      </c>
      <c r="C15" s="14"/>
      <c r="D15" s="14"/>
      <c r="E15" s="37"/>
      <c r="F15" s="38"/>
      <c r="G15" s="14"/>
      <c r="H15" s="14"/>
      <c r="I15" s="39" t="str">
        <f aca="false">IF(E15="","",E15*12)</f>
        <v/>
      </c>
      <c r="J15" s="39" t="str">
        <f aca="false">IF(OR(E15="",F15=""),"",E15*F15)</f>
        <v/>
      </c>
      <c r="K15" s="40" t="str">
        <f aca="false">IF(E15="","",INDEX(Inputs!$A$6:$A$8,MATCH(E15,Inputs!$B$6:$B$8,1)))</f>
        <v/>
      </c>
      <c r="L15" s="41" t="str">
        <f aca="false">IF(OR(E15="",H15=""),"",INDEX(Inputs!$C$6:$E$8,MATCH(E15,Inputs!$B$6:$B$8,1),MATCH(H15,Inputs!$A$20:$A$22,0)))</f>
        <v/>
      </c>
      <c r="M15" s="42" t="str">
        <f aca="false">IF(G15="","",INDEX(Inputs!$B$12:$B$16,MATCH(G15,Inputs!$A$12:$A$16,0)))</f>
        <v/>
      </c>
      <c r="N15" s="43" t="str">
        <f aca="false">IF(OR(L15="",M15=""),"",L15*M15)</f>
        <v/>
      </c>
      <c r="O15" s="39" t="n">
        <f aca="false">IF(OR(I15="",N15=""),0,I15*N15)</f>
        <v>0</v>
      </c>
      <c r="P15" s="40" t="str">
        <f aca="false">IF(G15="","",INDEX(Inputs!$D$12:$D$16,MATCH(G15,Inputs!$A$12:$A$16,0)))</f>
        <v/>
      </c>
      <c r="Q15" s="14"/>
    </row>
    <row r="16" customFormat="false" ht="15" hidden="false" customHeight="false" outlineLevel="0" collapsed="false">
      <c r="A16" s="35"/>
      <c r="B16" s="36" t="str">
        <f aca="false">IF(A16="","",DATE(YEAR(A16),MONTH(A16),1))</f>
        <v/>
      </c>
      <c r="C16" s="14"/>
      <c r="D16" s="14"/>
      <c r="E16" s="37"/>
      <c r="F16" s="38"/>
      <c r="G16" s="14"/>
      <c r="H16" s="14"/>
      <c r="I16" s="39" t="str">
        <f aca="false">IF(E16="","",E16*12)</f>
        <v/>
      </c>
      <c r="J16" s="39" t="str">
        <f aca="false">IF(OR(E16="",F16=""),"",E16*F16)</f>
        <v/>
      </c>
      <c r="K16" s="40" t="str">
        <f aca="false">IF(E16="","",INDEX(Inputs!$A$6:$A$8,MATCH(E16,Inputs!$B$6:$B$8,1)))</f>
        <v/>
      </c>
      <c r="L16" s="41" t="str">
        <f aca="false">IF(OR(E16="",H16=""),"",INDEX(Inputs!$C$6:$E$8,MATCH(E16,Inputs!$B$6:$B$8,1),MATCH(H16,Inputs!$A$20:$A$22,0)))</f>
        <v/>
      </c>
      <c r="M16" s="42" t="str">
        <f aca="false">IF(G16="","",INDEX(Inputs!$B$12:$B$16,MATCH(G16,Inputs!$A$12:$A$16,0)))</f>
        <v/>
      </c>
      <c r="N16" s="43" t="str">
        <f aca="false">IF(OR(L16="",M16=""),"",L16*M16)</f>
        <v/>
      </c>
      <c r="O16" s="39" t="n">
        <f aca="false">IF(OR(I16="",N16=""),0,I16*N16)</f>
        <v>0</v>
      </c>
      <c r="P16" s="40" t="str">
        <f aca="false">IF(G16="","",INDEX(Inputs!$D$12:$D$16,MATCH(G16,Inputs!$A$12:$A$16,0)))</f>
        <v/>
      </c>
      <c r="Q16" s="14"/>
    </row>
    <row r="17" customFormat="false" ht="15" hidden="false" customHeight="false" outlineLevel="0" collapsed="false">
      <c r="A17" s="35"/>
      <c r="B17" s="36" t="str">
        <f aca="false">IF(A17="","",DATE(YEAR(A17),MONTH(A17),1))</f>
        <v/>
      </c>
      <c r="C17" s="14"/>
      <c r="D17" s="14"/>
      <c r="E17" s="37"/>
      <c r="F17" s="38"/>
      <c r="G17" s="14"/>
      <c r="H17" s="14"/>
      <c r="I17" s="39" t="str">
        <f aca="false">IF(E17="","",E17*12)</f>
        <v/>
      </c>
      <c r="J17" s="39" t="str">
        <f aca="false">IF(OR(E17="",F17=""),"",E17*F17)</f>
        <v/>
      </c>
      <c r="K17" s="40" t="str">
        <f aca="false">IF(E17="","",INDEX(Inputs!$A$6:$A$8,MATCH(E17,Inputs!$B$6:$B$8,1)))</f>
        <v/>
      </c>
      <c r="L17" s="41" t="str">
        <f aca="false">IF(OR(E17="",H17=""),"",INDEX(Inputs!$C$6:$E$8,MATCH(E17,Inputs!$B$6:$B$8,1),MATCH(H17,Inputs!$A$20:$A$22,0)))</f>
        <v/>
      </c>
      <c r="M17" s="42" t="str">
        <f aca="false">IF(G17="","",INDEX(Inputs!$B$12:$B$16,MATCH(G17,Inputs!$A$12:$A$16,0)))</f>
        <v/>
      </c>
      <c r="N17" s="43" t="str">
        <f aca="false">IF(OR(L17="",M17=""),"",L17*M17)</f>
        <v/>
      </c>
      <c r="O17" s="39" t="n">
        <f aca="false">IF(OR(I17="",N17=""),0,I17*N17)</f>
        <v>0</v>
      </c>
      <c r="P17" s="40" t="str">
        <f aca="false">IF(G17="","",INDEX(Inputs!$D$12:$D$16,MATCH(G17,Inputs!$A$12:$A$16,0)))</f>
        <v/>
      </c>
      <c r="Q17" s="14"/>
    </row>
    <row r="18" customFormat="false" ht="15" hidden="false" customHeight="false" outlineLevel="0" collapsed="false">
      <c r="A18" s="35"/>
      <c r="B18" s="36" t="str">
        <f aca="false">IF(A18="","",DATE(YEAR(A18),MONTH(A18),1))</f>
        <v/>
      </c>
      <c r="C18" s="14"/>
      <c r="D18" s="14"/>
      <c r="E18" s="37"/>
      <c r="F18" s="38"/>
      <c r="G18" s="14"/>
      <c r="H18" s="14"/>
      <c r="I18" s="39" t="str">
        <f aca="false">IF(E18="","",E18*12)</f>
        <v/>
      </c>
      <c r="J18" s="39" t="str">
        <f aca="false">IF(OR(E18="",F18=""),"",E18*F18)</f>
        <v/>
      </c>
      <c r="K18" s="40" t="str">
        <f aca="false">IF(E18="","",INDEX(Inputs!$A$6:$A$8,MATCH(E18,Inputs!$B$6:$B$8,1)))</f>
        <v/>
      </c>
      <c r="L18" s="41" t="str">
        <f aca="false">IF(OR(E18="",H18=""),"",INDEX(Inputs!$C$6:$E$8,MATCH(E18,Inputs!$B$6:$B$8,1),MATCH(H18,Inputs!$A$20:$A$22,0)))</f>
        <v/>
      </c>
      <c r="M18" s="42" t="str">
        <f aca="false">IF(G18="","",INDEX(Inputs!$B$12:$B$16,MATCH(G18,Inputs!$A$12:$A$16,0)))</f>
        <v/>
      </c>
      <c r="N18" s="43" t="str">
        <f aca="false">IF(OR(L18="",M18=""),"",L18*M18)</f>
        <v/>
      </c>
      <c r="O18" s="39" t="n">
        <f aca="false">IF(OR(I18="",N18=""),0,I18*N18)</f>
        <v>0</v>
      </c>
      <c r="P18" s="40" t="str">
        <f aca="false">IF(G18="","",INDEX(Inputs!$D$12:$D$16,MATCH(G18,Inputs!$A$12:$A$16,0)))</f>
        <v/>
      </c>
      <c r="Q18" s="14"/>
    </row>
    <row r="19" customFormat="false" ht="15" hidden="false" customHeight="false" outlineLevel="0" collapsed="false">
      <c r="A19" s="35"/>
      <c r="B19" s="36" t="str">
        <f aca="false">IF(A19="","",DATE(YEAR(A19),MONTH(A19),1))</f>
        <v/>
      </c>
      <c r="C19" s="14"/>
      <c r="D19" s="14"/>
      <c r="E19" s="37"/>
      <c r="F19" s="38"/>
      <c r="G19" s="14"/>
      <c r="H19" s="14"/>
      <c r="I19" s="39" t="str">
        <f aca="false">IF(E19="","",E19*12)</f>
        <v/>
      </c>
      <c r="J19" s="39" t="str">
        <f aca="false">IF(OR(E19="",F19=""),"",E19*F19)</f>
        <v/>
      </c>
      <c r="K19" s="40" t="str">
        <f aca="false">IF(E19="","",INDEX(Inputs!$A$6:$A$8,MATCH(E19,Inputs!$B$6:$B$8,1)))</f>
        <v/>
      </c>
      <c r="L19" s="41" t="str">
        <f aca="false">IF(OR(E19="",H19=""),"",INDEX(Inputs!$C$6:$E$8,MATCH(E19,Inputs!$B$6:$B$8,1),MATCH(H19,Inputs!$A$20:$A$22,0)))</f>
        <v/>
      </c>
      <c r="M19" s="42" t="str">
        <f aca="false">IF(G19="","",INDEX(Inputs!$B$12:$B$16,MATCH(G19,Inputs!$A$12:$A$16,0)))</f>
        <v/>
      </c>
      <c r="N19" s="43" t="str">
        <f aca="false">IF(OR(L19="",M19=""),"",L19*M19)</f>
        <v/>
      </c>
      <c r="O19" s="39" t="n">
        <f aca="false">IF(OR(I19="",N19=""),0,I19*N19)</f>
        <v>0</v>
      </c>
      <c r="P19" s="40" t="str">
        <f aca="false">IF(G19="","",INDEX(Inputs!$D$12:$D$16,MATCH(G19,Inputs!$A$12:$A$16,0)))</f>
        <v/>
      </c>
      <c r="Q19" s="14"/>
    </row>
    <row r="20" customFormat="false" ht="15" hidden="false" customHeight="false" outlineLevel="0" collapsed="false">
      <c r="A20" s="35"/>
      <c r="B20" s="36" t="str">
        <f aca="false">IF(A20="","",DATE(YEAR(A20),MONTH(A20),1))</f>
        <v/>
      </c>
      <c r="C20" s="14"/>
      <c r="D20" s="14"/>
      <c r="E20" s="37"/>
      <c r="F20" s="38"/>
      <c r="G20" s="14"/>
      <c r="H20" s="14"/>
      <c r="I20" s="39" t="str">
        <f aca="false">IF(E20="","",E20*12)</f>
        <v/>
      </c>
      <c r="J20" s="39" t="str">
        <f aca="false">IF(OR(E20="",F20=""),"",E20*F20)</f>
        <v/>
      </c>
      <c r="K20" s="40" t="str">
        <f aca="false">IF(E20="","",INDEX(Inputs!$A$6:$A$8,MATCH(E20,Inputs!$B$6:$B$8,1)))</f>
        <v/>
      </c>
      <c r="L20" s="41" t="str">
        <f aca="false">IF(OR(E20="",H20=""),"",INDEX(Inputs!$C$6:$E$8,MATCH(E20,Inputs!$B$6:$B$8,1),MATCH(H20,Inputs!$A$20:$A$22,0)))</f>
        <v/>
      </c>
      <c r="M20" s="42" t="str">
        <f aca="false">IF(G20="","",INDEX(Inputs!$B$12:$B$16,MATCH(G20,Inputs!$A$12:$A$16,0)))</f>
        <v/>
      </c>
      <c r="N20" s="43" t="str">
        <f aca="false">IF(OR(L20="",M20=""),"",L20*M20)</f>
        <v/>
      </c>
      <c r="O20" s="39" t="n">
        <f aca="false">IF(OR(I20="",N20=""),0,I20*N20)</f>
        <v>0</v>
      </c>
      <c r="P20" s="40" t="str">
        <f aca="false">IF(G20="","",INDEX(Inputs!$D$12:$D$16,MATCH(G20,Inputs!$A$12:$A$16,0)))</f>
        <v/>
      </c>
      <c r="Q20" s="14"/>
    </row>
    <row r="21" customFormat="false" ht="15" hidden="false" customHeight="false" outlineLevel="0" collapsed="false">
      <c r="A21" s="35"/>
      <c r="B21" s="36" t="str">
        <f aca="false">IF(A21="","",DATE(YEAR(A21),MONTH(A21),1))</f>
        <v/>
      </c>
      <c r="C21" s="14"/>
      <c r="D21" s="14"/>
      <c r="E21" s="37"/>
      <c r="F21" s="38"/>
      <c r="G21" s="14"/>
      <c r="H21" s="14"/>
      <c r="I21" s="39" t="str">
        <f aca="false">IF(E21="","",E21*12)</f>
        <v/>
      </c>
      <c r="J21" s="39" t="str">
        <f aca="false">IF(OR(E21="",F21=""),"",E21*F21)</f>
        <v/>
      </c>
      <c r="K21" s="40" t="str">
        <f aca="false">IF(E21="","",INDEX(Inputs!$A$6:$A$8,MATCH(E21,Inputs!$B$6:$B$8,1)))</f>
        <v/>
      </c>
      <c r="L21" s="41" t="str">
        <f aca="false">IF(OR(E21="",H21=""),"",INDEX(Inputs!$C$6:$E$8,MATCH(E21,Inputs!$B$6:$B$8,1),MATCH(H21,Inputs!$A$20:$A$22,0)))</f>
        <v/>
      </c>
      <c r="M21" s="42" t="str">
        <f aca="false">IF(G21="","",INDEX(Inputs!$B$12:$B$16,MATCH(G21,Inputs!$A$12:$A$16,0)))</f>
        <v/>
      </c>
      <c r="N21" s="43" t="str">
        <f aca="false">IF(OR(L21="",M21=""),"",L21*M21)</f>
        <v/>
      </c>
      <c r="O21" s="39" t="n">
        <f aca="false">IF(OR(I21="",N21=""),0,I21*N21)</f>
        <v>0</v>
      </c>
      <c r="P21" s="40" t="str">
        <f aca="false">IF(G21="","",INDEX(Inputs!$D$12:$D$16,MATCH(G21,Inputs!$A$12:$A$16,0)))</f>
        <v/>
      </c>
      <c r="Q21" s="14"/>
    </row>
    <row r="22" customFormat="false" ht="15" hidden="false" customHeight="false" outlineLevel="0" collapsed="false">
      <c r="A22" s="35"/>
      <c r="B22" s="36" t="str">
        <f aca="false">IF(A22="","",DATE(YEAR(A22),MONTH(A22),1))</f>
        <v/>
      </c>
      <c r="C22" s="14"/>
      <c r="D22" s="14"/>
      <c r="E22" s="37"/>
      <c r="F22" s="38"/>
      <c r="G22" s="14"/>
      <c r="H22" s="14"/>
      <c r="I22" s="39" t="str">
        <f aca="false">IF(E22="","",E22*12)</f>
        <v/>
      </c>
      <c r="J22" s="39" t="str">
        <f aca="false">IF(OR(E22="",F22=""),"",E22*F22)</f>
        <v/>
      </c>
      <c r="K22" s="40" t="str">
        <f aca="false">IF(E22="","",INDEX(Inputs!$A$6:$A$8,MATCH(E22,Inputs!$B$6:$B$8,1)))</f>
        <v/>
      </c>
      <c r="L22" s="41" t="str">
        <f aca="false">IF(OR(E22="",H22=""),"",INDEX(Inputs!$C$6:$E$8,MATCH(E22,Inputs!$B$6:$B$8,1),MATCH(H22,Inputs!$A$20:$A$22,0)))</f>
        <v/>
      </c>
      <c r="M22" s="42" t="str">
        <f aca="false">IF(G22="","",INDEX(Inputs!$B$12:$B$16,MATCH(G22,Inputs!$A$12:$A$16,0)))</f>
        <v/>
      </c>
      <c r="N22" s="43" t="str">
        <f aca="false">IF(OR(L22="",M22=""),"",L22*M22)</f>
        <v/>
      </c>
      <c r="O22" s="39" t="n">
        <f aca="false">IF(OR(I22="",N22=""),0,I22*N22)</f>
        <v>0</v>
      </c>
      <c r="P22" s="40" t="str">
        <f aca="false">IF(G22="","",INDEX(Inputs!$D$12:$D$16,MATCH(G22,Inputs!$A$12:$A$16,0)))</f>
        <v/>
      </c>
      <c r="Q22" s="14"/>
    </row>
    <row r="23" customFormat="false" ht="15" hidden="false" customHeight="false" outlineLevel="0" collapsed="false">
      <c r="A23" s="35"/>
      <c r="B23" s="36" t="str">
        <f aca="false">IF(A23="","",DATE(YEAR(A23),MONTH(A23),1))</f>
        <v/>
      </c>
      <c r="C23" s="14"/>
      <c r="D23" s="14"/>
      <c r="E23" s="37"/>
      <c r="F23" s="38"/>
      <c r="G23" s="14"/>
      <c r="H23" s="14"/>
      <c r="I23" s="39" t="str">
        <f aca="false">IF(E23="","",E23*12)</f>
        <v/>
      </c>
      <c r="J23" s="39" t="str">
        <f aca="false">IF(OR(E23="",F23=""),"",E23*F23)</f>
        <v/>
      </c>
      <c r="K23" s="40" t="str">
        <f aca="false">IF(E23="","",INDEX(Inputs!$A$6:$A$8,MATCH(E23,Inputs!$B$6:$B$8,1)))</f>
        <v/>
      </c>
      <c r="L23" s="41" t="str">
        <f aca="false">IF(OR(E23="",H23=""),"",INDEX(Inputs!$C$6:$E$8,MATCH(E23,Inputs!$B$6:$B$8,1),MATCH(H23,Inputs!$A$20:$A$22,0)))</f>
        <v/>
      </c>
      <c r="M23" s="42" t="str">
        <f aca="false">IF(G23="","",INDEX(Inputs!$B$12:$B$16,MATCH(G23,Inputs!$A$12:$A$16,0)))</f>
        <v/>
      </c>
      <c r="N23" s="43" t="str">
        <f aca="false">IF(OR(L23="",M23=""),"",L23*M23)</f>
        <v/>
      </c>
      <c r="O23" s="39" t="n">
        <f aca="false">IF(OR(I23="",N23=""),0,I23*N23)</f>
        <v>0</v>
      </c>
      <c r="P23" s="40" t="str">
        <f aca="false">IF(G23="","",INDEX(Inputs!$D$12:$D$16,MATCH(G23,Inputs!$A$12:$A$16,0)))</f>
        <v/>
      </c>
      <c r="Q23" s="14"/>
    </row>
    <row r="24" customFormat="false" ht="15" hidden="false" customHeight="false" outlineLevel="0" collapsed="false">
      <c r="A24" s="35"/>
      <c r="B24" s="36" t="str">
        <f aca="false">IF(A24="","",DATE(YEAR(A24),MONTH(A24),1))</f>
        <v/>
      </c>
      <c r="C24" s="14"/>
      <c r="D24" s="14"/>
      <c r="E24" s="37"/>
      <c r="F24" s="38"/>
      <c r="G24" s="14"/>
      <c r="H24" s="14"/>
      <c r="I24" s="39" t="str">
        <f aca="false">IF(E24="","",E24*12)</f>
        <v/>
      </c>
      <c r="J24" s="39" t="str">
        <f aca="false">IF(OR(E24="",F24=""),"",E24*F24)</f>
        <v/>
      </c>
      <c r="K24" s="40" t="str">
        <f aca="false">IF(E24="","",INDEX(Inputs!$A$6:$A$8,MATCH(E24,Inputs!$B$6:$B$8,1)))</f>
        <v/>
      </c>
      <c r="L24" s="41" t="str">
        <f aca="false">IF(OR(E24="",H24=""),"",INDEX(Inputs!$C$6:$E$8,MATCH(E24,Inputs!$B$6:$B$8,1),MATCH(H24,Inputs!$A$20:$A$22,0)))</f>
        <v/>
      </c>
      <c r="M24" s="42" t="str">
        <f aca="false">IF(G24="","",INDEX(Inputs!$B$12:$B$16,MATCH(G24,Inputs!$A$12:$A$16,0)))</f>
        <v/>
      </c>
      <c r="N24" s="43" t="str">
        <f aca="false">IF(OR(L24="",M24=""),"",L24*M24)</f>
        <v/>
      </c>
      <c r="O24" s="39" t="n">
        <f aca="false">IF(OR(I24="",N24=""),0,I24*N24)</f>
        <v>0</v>
      </c>
      <c r="P24" s="40" t="str">
        <f aca="false">IF(G24="","",INDEX(Inputs!$D$12:$D$16,MATCH(G24,Inputs!$A$12:$A$16,0)))</f>
        <v/>
      </c>
      <c r="Q24" s="14"/>
    </row>
    <row r="25" customFormat="false" ht="15" hidden="false" customHeight="false" outlineLevel="0" collapsed="false">
      <c r="A25" s="35"/>
      <c r="B25" s="36" t="str">
        <f aca="false">IF(A25="","",DATE(YEAR(A25),MONTH(A25),1))</f>
        <v/>
      </c>
      <c r="C25" s="14"/>
      <c r="D25" s="14"/>
      <c r="E25" s="37"/>
      <c r="F25" s="38"/>
      <c r="G25" s="14"/>
      <c r="H25" s="14"/>
      <c r="I25" s="39" t="str">
        <f aca="false">IF(E25="","",E25*12)</f>
        <v/>
      </c>
      <c r="J25" s="39" t="str">
        <f aca="false">IF(OR(E25="",F25=""),"",E25*F25)</f>
        <v/>
      </c>
      <c r="K25" s="40" t="str">
        <f aca="false">IF(E25="","",INDEX(Inputs!$A$6:$A$8,MATCH(E25,Inputs!$B$6:$B$8,1)))</f>
        <v/>
      </c>
      <c r="L25" s="41" t="str">
        <f aca="false">IF(OR(E25="",H25=""),"",INDEX(Inputs!$C$6:$E$8,MATCH(E25,Inputs!$B$6:$B$8,1),MATCH(H25,Inputs!$A$20:$A$22,0)))</f>
        <v/>
      </c>
      <c r="M25" s="42" t="str">
        <f aca="false">IF(G25="","",INDEX(Inputs!$B$12:$B$16,MATCH(G25,Inputs!$A$12:$A$16,0)))</f>
        <v/>
      </c>
      <c r="N25" s="43" t="str">
        <f aca="false">IF(OR(L25="",M25=""),"",L25*M25)</f>
        <v/>
      </c>
      <c r="O25" s="39" t="n">
        <f aca="false">IF(OR(I25="",N25=""),0,I25*N25)</f>
        <v>0</v>
      </c>
      <c r="P25" s="40" t="str">
        <f aca="false">IF(G25="","",INDEX(Inputs!$D$12:$D$16,MATCH(G25,Inputs!$A$12:$A$16,0)))</f>
        <v/>
      </c>
      <c r="Q25" s="14"/>
    </row>
    <row r="26" customFormat="false" ht="15" hidden="false" customHeight="false" outlineLevel="0" collapsed="false">
      <c r="A26" s="35"/>
      <c r="B26" s="36" t="str">
        <f aca="false">IF(A26="","",DATE(YEAR(A26),MONTH(A26),1))</f>
        <v/>
      </c>
      <c r="C26" s="14"/>
      <c r="D26" s="14"/>
      <c r="E26" s="37"/>
      <c r="F26" s="38"/>
      <c r="G26" s="14"/>
      <c r="H26" s="14"/>
      <c r="I26" s="39" t="str">
        <f aca="false">IF(E26="","",E26*12)</f>
        <v/>
      </c>
      <c r="J26" s="39" t="str">
        <f aca="false">IF(OR(E26="",F26=""),"",E26*F26)</f>
        <v/>
      </c>
      <c r="K26" s="40" t="str">
        <f aca="false">IF(E26="","",INDEX(Inputs!$A$6:$A$8,MATCH(E26,Inputs!$B$6:$B$8,1)))</f>
        <v/>
      </c>
      <c r="L26" s="41" t="str">
        <f aca="false">IF(OR(E26="",H26=""),"",INDEX(Inputs!$C$6:$E$8,MATCH(E26,Inputs!$B$6:$B$8,1),MATCH(H26,Inputs!$A$20:$A$22,0)))</f>
        <v/>
      </c>
      <c r="M26" s="42" t="str">
        <f aca="false">IF(G26="","",INDEX(Inputs!$B$12:$B$16,MATCH(G26,Inputs!$A$12:$A$16,0)))</f>
        <v/>
      </c>
      <c r="N26" s="43" t="str">
        <f aca="false">IF(OR(L26="",M26=""),"",L26*M26)</f>
        <v/>
      </c>
      <c r="O26" s="39" t="n">
        <f aca="false">IF(OR(I26="",N26=""),0,I26*N26)</f>
        <v>0</v>
      </c>
      <c r="P26" s="40" t="str">
        <f aca="false">IF(G26="","",INDEX(Inputs!$D$12:$D$16,MATCH(G26,Inputs!$A$12:$A$16,0)))</f>
        <v/>
      </c>
      <c r="Q26" s="14"/>
    </row>
    <row r="27" customFormat="false" ht="15" hidden="false" customHeight="false" outlineLevel="0" collapsed="false">
      <c r="A27" s="35"/>
      <c r="B27" s="36" t="str">
        <f aca="false">IF(A27="","",DATE(YEAR(A27),MONTH(A27),1))</f>
        <v/>
      </c>
      <c r="C27" s="14"/>
      <c r="D27" s="14"/>
      <c r="E27" s="37"/>
      <c r="F27" s="38"/>
      <c r="G27" s="14"/>
      <c r="H27" s="14"/>
      <c r="I27" s="39" t="str">
        <f aca="false">IF(E27="","",E27*12)</f>
        <v/>
      </c>
      <c r="J27" s="39" t="str">
        <f aca="false">IF(OR(E27="",F27=""),"",E27*F27)</f>
        <v/>
      </c>
      <c r="K27" s="40" t="str">
        <f aca="false">IF(E27="","",INDEX(Inputs!$A$6:$A$8,MATCH(E27,Inputs!$B$6:$B$8,1)))</f>
        <v/>
      </c>
      <c r="L27" s="41" t="str">
        <f aca="false">IF(OR(E27="",H27=""),"",INDEX(Inputs!$C$6:$E$8,MATCH(E27,Inputs!$B$6:$B$8,1),MATCH(H27,Inputs!$A$20:$A$22,0)))</f>
        <v/>
      </c>
      <c r="M27" s="42" t="str">
        <f aca="false">IF(G27="","",INDEX(Inputs!$B$12:$B$16,MATCH(G27,Inputs!$A$12:$A$16,0)))</f>
        <v/>
      </c>
      <c r="N27" s="43" t="str">
        <f aca="false">IF(OR(L27="",M27=""),"",L27*M27)</f>
        <v/>
      </c>
      <c r="O27" s="39" t="n">
        <f aca="false">IF(OR(I27="",N27=""),0,I27*N27)</f>
        <v>0</v>
      </c>
      <c r="P27" s="40" t="str">
        <f aca="false">IF(G27="","",INDEX(Inputs!$D$12:$D$16,MATCH(G27,Inputs!$A$12:$A$16,0)))</f>
        <v/>
      </c>
      <c r="Q27" s="14"/>
    </row>
    <row r="28" customFormat="false" ht="15" hidden="false" customHeight="false" outlineLevel="0" collapsed="false">
      <c r="A28" s="35"/>
      <c r="B28" s="36" t="str">
        <f aca="false">IF(A28="","",DATE(YEAR(A28),MONTH(A28),1))</f>
        <v/>
      </c>
      <c r="C28" s="14"/>
      <c r="D28" s="14"/>
      <c r="E28" s="37"/>
      <c r="F28" s="38"/>
      <c r="G28" s="14"/>
      <c r="H28" s="14"/>
      <c r="I28" s="39" t="str">
        <f aca="false">IF(E28="","",E28*12)</f>
        <v/>
      </c>
      <c r="J28" s="39" t="str">
        <f aca="false">IF(OR(E28="",F28=""),"",E28*F28)</f>
        <v/>
      </c>
      <c r="K28" s="40" t="str">
        <f aca="false">IF(E28="","",INDEX(Inputs!$A$6:$A$8,MATCH(E28,Inputs!$B$6:$B$8,1)))</f>
        <v/>
      </c>
      <c r="L28" s="41" t="str">
        <f aca="false">IF(OR(E28="",H28=""),"",INDEX(Inputs!$C$6:$E$8,MATCH(E28,Inputs!$B$6:$B$8,1),MATCH(H28,Inputs!$A$20:$A$22,0)))</f>
        <v/>
      </c>
      <c r="M28" s="42" t="str">
        <f aca="false">IF(G28="","",INDEX(Inputs!$B$12:$B$16,MATCH(G28,Inputs!$A$12:$A$16,0)))</f>
        <v/>
      </c>
      <c r="N28" s="43" t="str">
        <f aca="false">IF(OR(L28="",M28=""),"",L28*M28)</f>
        <v/>
      </c>
      <c r="O28" s="39" t="n">
        <f aca="false">IF(OR(I28="",N28=""),0,I28*N28)</f>
        <v>0</v>
      </c>
      <c r="P28" s="40" t="str">
        <f aca="false">IF(G28="","",INDEX(Inputs!$D$12:$D$16,MATCH(G28,Inputs!$A$12:$A$16,0)))</f>
        <v/>
      </c>
      <c r="Q28" s="14"/>
    </row>
    <row r="29" customFormat="false" ht="15" hidden="false" customHeight="false" outlineLevel="0" collapsed="false">
      <c r="A29" s="35"/>
      <c r="B29" s="36" t="str">
        <f aca="false">IF(A29="","",DATE(YEAR(A29),MONTH(A29),1))</f>
        <v/>
      </c>
      <c r="C29" s="14"/>
      <c r="D29" s="14"/>
      <c r="E29" s="37"/>
      <c r="F29" s="38"/>
      <c r="G29" s="14"/>
      <c r="H29" s="14"/>
      <c r="I29" s="39" t="str">
        <f aca="false">IF(E29="","",E29*12)</f>
        <v/>
      </c>
      <c r="J29" s="39" t="str">
        <f aca="false">IF(OR(E29="",F29=""),"",E29*F29)</f>
        <v/>
      </c>
      <c r="K29" s="40" t="str">
        <f aca="false">IF(E29="","",INDEX(Inputs!$A$6:$A$8,MATCH(E29,Inputs!$B$6:$B$8,1)))</f>
        <v/>
      </c>
      <c r="L29" s="41" t="str">
        <f aca="false">IF(OR(E29="",H29=""),"",INDEX(Inputs!$C$6:$E$8,MATCH(E29,Inputs!$B$6:$B$8,1),MATCH(H29,Inputs!$A$20:$A$22,0)))</f>
        <v/>
      </c>
      <c r="M29" s="42" t="str">
        <f aca="false">IF(G29="","",INDEX(Inputs!$B$12:$B$16,MATCH(G29,Inputs!$A$12:$A$16,0)))</f>
        <v/>
      </c>
      <c r="N29" s="43" t="str">
        <f aca="false">IF(OR(L29="",M29=""),"",L29*M29)</f>
        <v/>
      </c>
      <c r="O29" s="39" t="n">
        <f aca="false">IF(OR(I29="",N29=""),0,I29*N29)</f>
        <v>0</v>
      </c>
      <c r="P29" s="40" t="str">
        <f aca="false">IF(G29="","",INDEX(Inputs!$D$12:$D$16,MATCH(G29,Inputs!$A$12:$A$16,0)))</f>
        <v/>
      </c>
      <c r="Q29" s="14"/>
    </row>
    <row r="30" customFormat="false" ht="15" hidden="false" customHeight="false" outlineLevel="0" collapsed="false">
      <c r="A30" s="35"/>
      <c r="B30" s="36" t="str">
        <f aca="false">IF(A30="","",DATE(YEAR(A30),MONTH(A30),1))</f>
        <v/>
      </c>
      <c r="C30" s="14"/>
      <c r="D30" s="14"/>
      <c r="E30" s="37"/>
      <c r="F30" s="38"/>
      <c r="G30" s="14"/>
      <c r="H30" s="14"/>
      <c r="I30" s="39" t="str">
        <f aca="false">IF(E30="","",E30*12)</f>
        <v/>
      </c>
      <c r="J30" s="39" t="str">
        <f aca="false">IF(OR(E30="",F30=""),"",E30*F30)</f>
        <v/>
      </c>
      <c r="K30" s="40" t="str">
        <f aca="false">IF(E30="","",INDEX(Inputs!$A$6:$A$8,MATCH(E30,Inputs!$B$6:$B$8,1)))</f>
        <v/>
      </c>
      <c r="L30" s="41" t="str">
        <f aca="false">IF(OR(E30="",H30=""),"",INDEX(Inputs!$C$6:$E$8,MATCH(E30,Inputs!$B$6:$B$8,1),MATCH(H30,Inputs!$A$20:$A$22,0)))</f>
        <v/>
      </c>
      <c r="M30" s="42" t="str">
        <f aca="false">IF(G30="","",INDEX(Inputs!$B$12:$B$16,MATCH(G30,Inputs!$A$12:$A$16,0)))</f>
        <v/>
      </c>
      <c r="N30" s="43" t="str">
        <f aca="false">IF(OR(L30="",M30=""),"",L30*M30)</f>
        <v/>
      </c>
      <c r="O30" s="39" t="n">
        <f aca="false">IF(OR(I30="",N30=""),0,I30*N30)</f>
        <v>0</v>
      </c>
      <c r="P30" s="40" t="str">
        <f aca="false">IF(G30="","",INDEX(Inputs!$D$12:$D$16,MATCH(G30,Inputs!$A$12:$A$16,0)))</f>
        <v/>
      </c>
      <c r="Q30" s="14"/>
    </row>
    <row r="31" customFormat="false" ht="15" hidden="false" customHeight="false" outlineLevel="0" collapsed="false">
      <c r="A31" s="35"/>
      <c r="B31" s="36" t="str">
        <f aca="false">IF(A31="","",DATE(YEAR(A31),MONTH(A31),1))</f>
        <v/>
      </c>
      <c r="C31" s="14"/>
      <c r="D31" s="14"/>
      <c r="E31" s="37"/>
      <c r="F31" s="38"/>
      <c r="G31" s="14"/>
      <c r="H31" s="14"/>
      <c r="I31" s="39" t="str">
        <f aca="false">IF(E31="","",E31*12)</f>
        <v/>
      </c>
      <c r="J31" s="39" t="str">
        <f aca="false">IF(OR(E31="",F31=""),"",E31*F31)</f>
        <v/>
      </c>
      <c r="K31" s="40" t="str">
        <f aca="false">IF(E31="","",INDEX(Inputs!$A$6:$A$8,MATCH(E31,Inputs!$B$6:$B$8,1)))</f>
        <v/>
      </c>
      <c r="L31" s="41" t="str">
        <f aca="false">IF(OR(E31="",H31=""),"",INDEX(Inputs!$C$6:$E$8,MATCH(E31,Inputs!$B$6:$B$8,1),MATCH(H31,Inputs!$A$20:$A$22,0)))</f>
        <v/>
      </c>
      <c r="M31" s="42" t="str">
        <f aca="false">IF(G31="","",INDEX(Inputs!$B$12:$B$16,MATCH(G31,Inputs!$A$12:$A$16,0)))</f>
        <v/>
      </c>
      <c r="N31" s="43" t="str">
        <f aca="false">IF(OR(L31="",M31=""),"",L31*M31)</f>
        <v/>
      </c>
      <c r="O31" s="39" t="n">
        <f aca="false">IF(OR(I31="",N31=""),0,I31*N31)</f>
        <v>0</v>
      </c>
      <c r="P31" s="40" t="str">
        <f aca="false">IF(G31="","",INDEX(Inputs!$D$12:$D$16,MATCH(G31,Inputs!$A$12:$A$16,0)))</f>
        <v/>
      </c>
      <c r="Q31" s="14"/>
    </row>
    <row r="32" customFormat="false" ht="15" hidden="false" customHeight="false" outlineLevel="0" collapsed="false">
      <c r="A32" s="35"/>
      <c r="B32" s="36" t="str">
        <f aca="false">IF(A32="","",DATE(YEAR(A32),MONTH(A32),1))</f>
        <v/>
      </c>
      <c r="C32" s="14"/>
      <c r="D32" s="14"/>
      <c r="E32" s="37"/>
      <c r="F32" s="38"/>
      <c r="G32" s="14"/>
      <c r="H32" s="14"/>
      <c r="I32" s="39" t="str">
        <f aca="false">IF(E32="","",E32*12)</f>
        <v/>
      </c>
      <c r="J32" s="39" t="str">
        <f aca="false">IF(OR(E32="",F32=""),"",E32*F32)</f>
        <v/>
      </c>
      <c r="K32" s="40" t="str">
        <f aca="false">IF(E32="","",INDEX(Inputs!$A$6:$A$8,MATCH(E32,Inputs!$B$6:$B$8,1)))</f>
        <v/>
      </c>
      <c r="L32" s="41" t="str">
        <f aca="false">IF(OR(E32="",H32=""),"",INDEX(Inputs!$C$6:$E$8,MATCH(E32,Inputs!$B$6:$B$8,1),MATCH(H32,Inputs!$A$20:$A$22,0)))</f>
        <v/>
      </c>
      <c r="M32" s="42" t="str">
        <f aca="false">IF(G32="","",INDEX(Inputs!$B$12:$B$16,MATCH(G32,Inputs!$A$12:$A$16,0)))</f>
        <v/>
      </c>
      <c r="N32" s="43" t="str">
        <f aca="false">IF(OR(L32="",M32=""),"",L32*M32)</f>
        <v/>
      </c>
      <c r="O32" s="39" t="n">
        <f aca="false">IF(OR(I32="",N32=""),0,I32*N32)</f>
        <v>0</v>
      </c>
      <c r="P32" s="40" t="str">
        <f aca="false">IF(G32="","",INDEX(Inputs!$D$12:$D$16,MATCH(G32,Inputs!$A$12:$A$16,0)))</f>
        <v/>
      </c>
      <c r="Q32" s="14"/>
    </row>
    <row r="33" customFormat="false" ht="15" hidden="false" customHeight="false" outlineLevel="0" collapsed="false">
      <c r="A33" s="35"/>
      <c r="B33" s="36" t="str">
        <f aca="false">IF(A33="","",DATE(YEAR(A33),MONTH(A33),1))</f>
        <v/>
      </c>
      <c r="C33" s="14"/>
      <c r="D33" s="14"/>
      <c r="E33" s="37"/>
      <c r="F33" s="38"/>
      <c r="G33" s="14"/>
      <c r="H33" s="14"/>
      <c r="I33" s="39" t="str">
        <f aca="false">IF(E33="","",E33*12)</f>
        <v/>
      </c>
      <c r="J33" s="39" t="str">
        <f aca="false">IF(OR(E33="",F33=""),"",E33*F33)</f>
        <v/>
      </c>
      <c r="K33" s="40" t="str">
        <f aca="false">IF(E33="","",INDEX(Inputs!$A$6:$A$8,MATCH(E33,Inputs!$B$6:$B$8,1)))</f>
        <v/>
      </c>
      <c r="L33" s="41" t="str">
        <f aca="false">IF(OR(E33="",H33=""),"",INDEX(Inputs!$C$6:$E$8,MATCH(E33,Inputs!$B$6:$B$8,1),MATCH(H33,Inputs!$A$20:$A$22,0)))</f>
        <v/>
      </c>
      <c r="M33" s="42" t="str">
        <f aca="false">IF(G33="","",INDEX(Inputs!$B$12:$B$16,MATCH(G33,Inputs!$A$12:$A$16,0)))</f>
        <v/>
      </c>
      <c r="N33" s="43" t="str">
        <f aca="false">IF(OR(L33="",M33=""),"",L33*M33)</f>
        <v/>
      </c>
      <c r="O33" s="39" t="n">
        <f aca="false">IF(OR(I33="",N33=""),0,I33*N33)</f>
        <v>0</v>
      </c>
      <c r="P33" s="40" t="str">
        <f aca="false">IF(G33="","",INDEX(Inputs!$D$12:$D$16,MATCH(G33,Inputs!$A$12:$A$16,0)))</f>
        <v/>
      </c>
      <c r="Q33" s="14"/>
    </row>
    <row r="34" customFormat="false" ht="15" hidden="false" customHeight="false" outlineLevel="0" collapsed="false">
      <c r="A34" s="35"/>
      <c r="B34" s="36" t="str">
        <f aca="false">IF(A34="","",DATE(YEAR(A34),MONTH(A34),1))</f>
        <v/>
      </c>
      <c r="C34" s="14"/>
      <c r="D34" s="14"/>
      <c r="E34" s="37"/>
      <c r="F34" s="38"/>
      <c r="G34" s="14"/>
      <c r="H34" s="14"/>
      <c r="I34" s="39" t="str">
        <f aca="false">IF(E34="","",E34*12)</f>
        <v/>
      </c>
      <c r="J34" s="39" t="str">
        <f aca="false">IF(OR(E34="",F34=""),"",E34*F34)</f>
        <v/>
      </c>
      <c r="K34" s="40" t="str">
        <f aca="false">IF(E34="","",INDEX(Inputs!$A$6:$A$8,MATCH(E34,Inputs!$B$6:$B$8,1)))</f>
        <v/>
      </c>
      <c r="L34" s="41" t="str">
        <f aca="false">IF(OR(E34="",H34=""),"",INDEX(Inputs!$C$6:$E$8,MATCH(E34,Inputs!$B$6:$B$8,1),MATCH(H34,Inputs!$A$20:$A$22,0)))</f>
        <v/>
      </c>
      <c r="M34" s="42" t="str">
        <f aca="false">IF(G34="","",INDEX(Inputs!$B$12:$B$16,MATCH(G34,Inputs!$A$12:$A$16,0)))</f>
        <v/>
      </c>
      <c r="N34" s="43" t="str">
        <f aca="false">IF(OR(L34="",M34=""),"",L34*M34)</f>
        <v/>
      </c>
      <c r="O34" s="39" t="n">
        <f aca="false">IF(OR(I34="",N34=""),0,I34*N34)</f>
        <v>0</v>
      </c>
      <c r="P34" s="40" t="str">
        <f aca="false">IF(G34="","",INDEX(Inputs!$D$12:$D$16,MATCH(G34,Inputs!$A$12:$A$16,0)))</f>
        <v/>
      </c>
      <c r="Q34" s="14"/>
    </row>
    <row r="35" customFormat="false" ht="15" hidden="false" customHeight="false" outlineLevel="0" collapsed="false">
      <c r="A35" s="35"/>
      <c r="B35" s="36" t="str">
        <f aca="false">IF(A35="","",DATE(YEAR(A35),MONTH(A35),1))</f>
        <v/>
      </c>
      <c r="C35" s="14"/>
      <c r="D35" s="14"/>
      <c r="E35" s="37"/>
      <c r="F35" s="38"/>
      <c r="G35" s="14"/>
      <c r="H35" s="14"/>
      <c r="I35" s="39" t="str">
        <f aca="false">IF(E35="","",E35*12)</f>
        <v/>
      </c>
      <c r="J35" s="39" t="str">
        <f aca="false">IF(OR(E35="",F35=""),"",E35*F35)</f>
        <v/>
      </c>
      <c r="K35" s="40" t="str">
        <f aca="false">IF(E35="","",INDEX(Inputs!$A$6:$A$8,MATCH(E35,Inputs!$B$6:$B$8,1)))</f>
        <v/>
      </c>
      <c r="L35" s="41" t="str">
        <f aca="false">IF(OR(E35="",H35=""),"",INDEX(Inputs!$C$6:$E$8,MATCH(E35,Inputs!$B$6:$B$8,1),MATCH(H35,Inputs!$A$20:$A$22,0)))</f>
        <v/>
      </c>
      <c r="M35" s="42" t="str">
        <f aca="false">IF(G35="","",INDEX(Inputs!$B$12:$B$16,MATCH(G35,Inputs!$A$12:$A$16,0)))</f>
        <v/>
      </c>
      <c r="N35" s="43" t="str">
        <f aca="false">IF(OR(L35="",M35=""),"",L35*M35)</f>
        <v/>
      </c>
      <c r="O35" s="39" t="n">
        <f aca="false">IF(OR(I35="",N35=""),0,I35*N35)</f>
        <v>0</v>
      </c>
      <c r="P35" s="40" t="str">
        <f aca="false">IF(G35="","",INDEX(Inputs!$D$12:$D$16,MATCH(G35,Inputs!$A$12:$A$16,0)))</f>
        <v/>
      </c>
      <c r="Q35" s="14"/>
    </row>
    <row r="36" customFormat="false" ht="15" hidden="false" customHeight="false" outlineLevel="0" collapsed="false">
      <c r="A36" s="35"/>
      <c r="B36" s="36" t="str">
        <f aca="false">IF(A36="","",DATE(YEAR(A36),MONTH(A36),1))</f>
        <v/>
      </c>
      <c r="C36" s="14"/>
      <c r="D36" s="14"/>
      <c r="E36" s="37"/>
      <c r="F36" s="38"/>
      <c r="G36" s="14"/>
      <c r="H36" s="14"/>
      <c r="I36" s="39" t="str">
        <f aca="false">IF(E36="","",E36*12)</f>
        <v/>
      </c>
      <c r="J36" s="39" t="str">
        <f aca="false">IF(OR(E36="",F36=""),"",E36*F36)</f>
        <v/>
      </c>
      <c r="K36" s="40" t="str">
        <f aca="false">IF(E36="","",INDEX(Inputs!$A$6:$A$8,MATCH(E36,Inputs!$B$6:$B$8,1)))</f>
        <v/>
      </c>
      <c r="L36" s="41" t="str">
        <f aca="false">IF(OR(E36="",H36=""),"",INDEX(Inputs!$C$6:$E$8,MATCH(E36,Inputs!$B$6:$B$8,1),MATCH(H36,Inputs!$A$20:$A$22,0)))</f>
        <v/>
      </c>
      <c r="M36" s="42" t="str">
        <f aca="false">IF(G36="","",INDEX(Inputs!$B$12:$B$16,MATCH(G36,Inputs!$A$12:$A$16,0)))</f>
        <v/>
      </c>
      <c r="N36" s="43" t="str">
        <f aca="false">IF(OR(L36="",M36=""),"",L36*M36)</f>
        <v/>
      </c>
      <c r="O36" s="39" t="n">
        <f aca="false">IF(OR(I36="",N36=""),0,I36*N36)</f>
        <v>0</v>
      </c>
      <c r="P36" s="40" t="str">
        <f aca="false">IF(G36="","",INDEX(Inputs!$D$12:$D$16,MATCH(G36,Inputs!$A$12:$A$16,0)))</f>
        <v/>
      </c>
      <c r="Q36" s="14"/>
    </row>
    <row r="37" customFormat="false" ht="15" hidden="false" customHeight="false" outlineLevel="0" collapsed="false">
      <c r="A37" s="35"/>
      <c r="B37" s="36" t="str">
        <f aca="false">IF(A37="","",DATE(YEAR(A37),MONTH(A37),1))</f>
        <v/>
      </c>
      <c r="C37" s="14"/>
      <c r="D37" s="14"/>
      <c r="E37" s="37"/>
      <c r="F37" s="38"/>
      <c r="G37" s="14"/>
      <c r="H37" s="14"/>
      <c r="I37" s="39" t="str">
        <f aca="false">IF(E37="","",E37*12)</f>
        <v/>
      </c>
      <c r="J37" s="39" t="str">
        <f aca="false">IF(OR(E37="",F37=""),"",E37*F37)</f>
        <v/>
      </c>
      <c r="K37" s="40" t="str">
        <f aca="false">IF(E37="","",INDEX(Inputs!$A$6:$A$8,MATCH(E37,Inputs!$B$6:$B$8,1)))</f>
        <v/>
      </c>
      <c r="L37" s="41" t="str">
        <f aca="false">IF(OR(E37="",H37=""),"",INDEX(Inputs!$C$6:$E$8,MATCH(E37,Inputs!$B$6:$B$8,1),MATCH(H37,Inputs!$A$20:$A$22,0)))</f>
        <v/>
      </c>
      <c r="M37" s="42" t="str">
        <f aca="false">IF(G37="","",INDEX(Inputs!$B$12:$B$16,MATCH(G37,Inputs!$A$12:$A$16,0)))</f>
        <v/>
      </c>
      <c r="N37" s="43" t="str">
        <f aca="false">IF(OR(L37="",M37=""),"",L37*M37)</f>
        <v/>
      </c>
      <c r="O37" s="39" t="n">
        <f aca="false">IF(OR(I37="",N37=""),0,I37*N37)</f>
        <v>0</v>
      </c>
      <c r="P37" s="40" t="str">
        <f aca="false">IF(G37="","",INDEX(Inputs!$D$12:$D$16,MATCH(G37,Inputs!$A$12:$A$16,0)))</f>
        <v/>
      </c>
      <c r="Q37" s="14"/>
    </row>
    <row r="38" customFormat="false" ht="15" hidden="false" customHeight="false" outlineLevel="0" collapsed="false">
      <c r="A38" s="35"/>
      <c r="B38" s="36" t="str">
        <f aca="false">IF(A38="","",DATE(YEAR(A38),MONTH(A38),1))</f>
        <v/>
      </c>
      <c r="C38" s="14"/>
      <c r="D38" s="14"/>
      <c r="E38" s="37"/>
      <c r="F38" s="38"/>
      <c r="G38" s="14"/>
      <c r="H38" s="14"/>
      <c r="I38" s="39" t="str">
        <f aca="false">IF(E38="","",E38*12)</f>
        <v/>
      </c>
      <c r="J38" s="39" t="str">
        <f aca="false">IF(OR(E38="",F38=""),"",E38*F38)</f>
        <v/>
      </c>
      <c r="K38" s="40" t="str">
        <f aca="false">IF(E38="","",INDEX(Inputs!$A$6:$A$8,MATCH(E38,Inputs!$B$6:$B$8,1)))</f>
        <v/>
      </c>
      <c r="L38" s="41" t="str">
        <f aca="false">IF(OR(E38="",H38=""),"",INDEX(Inputs!$C$6:$E$8,MATCH(E38,Inputs!$B$6:$B$8,1),MATCH(H38,Inputs!$A$20:$A$22,0)))</f>
        <v/>
      </c>
      <c r="M38" s="42" t="str">
        <f aca="false">IF(G38="","",INDEX(Inputs!$B$12:$B$16,MATCH(G38,Inputs!$A$12:$A$16,0)))</f>
        <v/>
      </c>
      <c r="N38" s="43" t="str">
        <f aca="false">IF(OR(L38="",M38=""),"",L38*M38)</f>
        <v/>
      </c>
      <c r="O38" s="39" t="n">
        <f aca="false">IF(OR(I38="",N38=""),0,I38*N38)</f>
        <v>0</v>
      </c>
      <c r="P38" s="40" t="str">
        <f aca="false">IF(G38="","",INDEX(Inputs!$D$12:$D$16,MATCH(G38,Inputs!$A$12:$A$16,0)))</f>
        <v/>
      </c>
      <c r="Q38" s="14"/>
    </row>
    <row r="39" customFormat="false" ht="15" hidden="false" customHeight="false" outlineLevel="0" collapsed="false">
      <c r="A39" s="35"/>
      <c r="B39" s="36" t="str">
        <f aca="false">IF(A39="","",DATE(YEAR(A39),MONTH(A39),1))</f>
        <v/>
      </c>
      <c r="C39" s="14"/>
      <c r="D39" s="14"/>
      <c r="E39" s="37"/>
      <c r="F39" s="38"/>
      <c r="G39" s="14"/>
      <c r="H39" s="14"/>
      <c r="I39" s="39" t="str">
        <f aca="false">IF(E39="","",E39*12)</f>
        <v/>
      </c>
      <c r="J39" s="39" t="str">
        <f aca="false">IF(OR(E39="",F39=""),"",E39*F39)</f>
        <v/>
      </c>
      <c r="K39" s="40" t="str">
        <f aca="false">IF(E39="","",INDEX(Inputs!$A$6:$A$8,MATCH(E39,Inputs!$B$6:$B$8,1)))</f>
        <v/>
      </c>
      <c r="L39" s="41" t="str">
        <f aca="false">IF(OR(E39="",H39=""),"",INDEX(Inputs!$C$6:$E$8,MATCH(E39,Inputs!$B$6:$B$8,1),MATCH(H39,Inputs!$A$20:$A$22,0)))</f>
        <v/>
      </c>
      <c r="M39" s="42" t="str">
        <f aca="false">IF(G39="","",INDEX(Inputs!$B$12:$B$16,MATCH(G39,Inputs!$A$12:$A$16,0)))</f>
        <v/>
      </c>
      <c r="N39" s="43" t="str">
        <f aca="false">IF(OR(L39="",M39=""),"",L39*M39)</f>
        <v/>
      </c>
      <c r="O39" s="39" t="n">
        <f aca="false">IF(OR(I39="",N39=""),0,I39*N39)</f>
        <v>0</v>
      </c>
      <c r="P39" s="40" t="str">
        <f aca="false">IF(G39="","",INDEX(Inputs!$D$12:$D$16,MATCH(G39,Inputs!$A$12:$A$16,0)))</f>
        <v/>
      </c>
      <c r="Q39" s="14"/>
    </row>
    <row r="40" customFormat="false" ht="15" hidden="false" customHeight="false" outlineLevel="0" collapsed="false">
      <c r="A40" s="35"/>
      <c r="B40" s="36" t="str">
        <f aca="false">IF(A40="","",DATE(YEAR(A40),MONTH(A40),1))</f>
        <v/>
      </c>
      <c r="C40" s="14"/>
      <c r="D40" s="14"/>
      <c r="E40" s="37"/>
      <c r="F40" s="38"/>
      <c r="G40" s="14"/>
      <c r="H40" s="14"/>
      <c r="I40" s="39" t="str">
        <f aca="false">IF(E40="","",E40*12)</f>
        <v/>
      </c>
      <c r="J40" s="39" t="str">
        <f aca="false">IF(OR(E40="",F40=""),"",E40*F40)</f>
        <v/>
      </c>
      <c r="K40" s="40" t="str">
        <f aca="false">IF(E40="","",INDEX(Inputs!$A$6:$A$8,MATCH(E40,Inputs!$B$6:$B$8,1)))</f>
        <v/>
      </c>
      <c r="L40" s="41" t="str">
        <f aca="false">IF(OR(E40="",H40=""),"",INDEX(Inputs!$C$6:$E$8,MATCH(E40,Inputs!$B$6:$B$8,1),MATCH(H40,Inputs!$A$20:$A$22,0)))</f>
        <v/>
      </c>
      <c r="M40" s="42" t="str">
        <f aca="false">IF(G40="","",INDEX(Inputs!$B$12:$B$16,MATCH(G40,Inputs!$A$12:$A$16,0)))</f>
        <v/>
      </c>
      <c r="N40" s="43" t="str">
        <f aca="false">IF(OR(L40="",M40=""),"",L40*M40)</f>
        <v/>
      </c>
      <c r="O40" s="39" t="n">
        <f aca="false">IF(OR(I40="",N40=""),0,I40*N40)</f>
        <v>0</v>
      </c>
      <c r="P40" s="40" t="str">
        <f aca="false">IF(G40="","",INDEX(Inputs!$D$12:$D$16,MATCH(G40,Inputs!$A$12:$A$16,0)))</f>
        <v/>
      </c>
      <c r="Q40" s="14"/>
    </row>
    <row r="41" customFormat="false" ht="15" hidden="false" customHeight="false" outlineLevel="0" collapsed="false">
      <c r="A41" s="35"/>
      <c r="B41" s="36" t="str">
        <f aca="false">IF(A41="","",DATE(YEAR(A41),MONTH(A41),1))</f>
        <v/>
      </c>
      <c r="C41" s="14"/>
      <c r="D41" s="14"/>
      <c r="E41" s="37"/>
      <c r="F41" s="38"/>
      <c r="G41" s="14"/>
      <c r="H41" s="14"/>
      <c r="I41" s="39" t="str">
        <f aca="false">IF(E41="","",E41*12)</f>
        <v/>
      </c>
      <c r="J41" s="39" t="str">
        <f aca="false">IF(OR(E41="",F41=""),"",E41*F41)</f>
        <v/>
      </c>
      <c r="K41" s="40" t="str">
        <f aca="false">IF(E41="","",INDEX(Inputs!$A$6:$A$8,MATCH(E41,Inputs!$B$6:$B$8,1)))</f>
        <v/>
      </c>
      <c r="L41" s="41" t="str">
        <f aca="false">IF(OR(E41="",H41=""),"",INDEX(Inputs!$C$6:$E$8,MATCH(E41,Inputs!$B$6:$B$8,1),MATCH(H41,Inputs!$A$20:$A$22,0)))</f>
        <v/>
      </c>
      <c r="M41" s="42" t="str">
        <f aca="false">IF(G41="","",INDEX(Inputs!$B$12:$B$16,MATCH(G41,Inputs!$A$12:$A$16,0)))</f>
        <v/>
      </c>
      <c r="N41" s="43" t="str">
        <f aca="false">IF(OR(L41="",M41=""),"",L41*M41)</f>
        <v/>
      </c>
      <c r="O41" s="39" t="n">
        <f aca="false">IF(OR(I41="",N41=""),0,I41*N41)</f>
        <v>0</v>
      </c>
      <c r="P41" s="40" t="str">
        <f aca="false">IF(G41="","",INDEX(Inputs!$D$12:$D$16,MATCH(G41,Inputs!$A$12:$A$16,0)))</f>
        <v/>
      </c>
      <c r="Q41" s="14"/>
    </row>
    <row r="42" customFormat="false" ht="15" hidden="false" customHeight="false" outlineLevel="0" collapsed="false">
      <c r="A42" s="35"/>
      <c r="B42" s="36" t="str">
        <f aca="false">IF(A42="","",DATE(YEAR(A42),MONTH(A42),1))</f>
        <v/>
      </c>
      <c r="C42" s="14"/>
      <c r="D42" s="14"/>
      <c r="E42" s="37"/>
      <c r="F42" s="38"/>
      <c r="G42" s="14"/>
      <c r="H42" s="14"/>
      <c r="I42" s="39" t="str">
        <f aca="false">IF(E42="","",E42*12)</f>
        <v/>
      </c>
      <c r="J42" s="39" t="str">
        <f aca="false">IF(OR(E42="",F42=""),"",E42*F42)</f>
        <v/>
      </c>
      <c r="K42" s="40" t="str">
        <f aca="false">IF(E42="","",INDEX(Inputs!$A$6:$A$8,MATCH(E42,Inputs!$B$6:$B$8,1)))</f>
        <v/>
      </c>
      <c r="L42" s="41" t="str">
        <f aca="false">IF(OR(E42="",H42=""),"",INDEX(Inputs!$C$6:$E$8,MATCH(E42,Inputs!$B$6:$B$8,1),MATCH(H42,Inputs!$A$20:$A$22,0)))</f>
        <v/>
      </c>
      <c r="M42" s="42" t="str">
        <f aca="false">IF(G42="","",INDEX(Inputs!$B$12:$B$16,MATCH(G42,Inputs!$A$12:$A$16,0)))</f>
        <v/>
      </c>
      <c r="N42" s="43" t="str">
        <f aca="false">IF(OR(L42="",M42=""),"",L42*M42)</f>
        <v/>
      </c>
      <c r="O42" s="39" t="n">
        <f aca="false">IF(OR(I42="",N42=""),0,I42*N42)</f>
        <v>0</v>
      </c>
      <c r="P42" s="40" t="str">
        <f aca="false">IF(G42="","",INDEX(Inputs!$D$12:$D$16,MATCH(G42,Inputs!$A$12:$A$16,0)))</f>
        <v/>
      </c>
      <c r="Q42" s="14"/>
    </row>
    <row r="43" customFormat="false" ht="15" hidden="false" customHeight="false" outlineLevel="0" collapsed="false">
      <c r="A43" s="35"/>
      <c r="B43" s="36" t="str">
        <f aca="false">IF(A43="","",DATE(YEAR(A43),MONTH(A43),1))</f>
        <v/>
      </c>
      <c r="C43" s="14"/>
      <c r="D43" s="14"/>
      <c r="E43" s="37"/>
      <c r="F43" s="38"/>
      <c r="G43" s="14"/>
      <c r="H43" s="14"/>
      <c r="I43" s="39" t="str">
        <f aca="false">IF(E43="","",E43*12)</f>
        <v/>
      </c>
      <c r="J43" s="39" t="str">
        <f aca="false">IF(OR(E43="",F43=""),"",E43*F43)</f>
        <v/>
      </c>
      <c r="K43" s="40" t="str">
        <f aca="false">IF(E43="","",INDEX(Inputs!$A$6:$A$8,MATCH(E43,Inputs!$B$6:$B$8,1)))</f>
        <v/>
      </c>
      <c r="L43" s="41" t="str">
        <f aca="false">IF(OR(E43="",H43=""),"",INDEX(Inputs!$C$6:$E$8,MATCH(E43,Inputs!$B$6:$B$8,1),MATCH(H43,Inputs!$A$20:$A$22,0)))</f>
        <v/>
      </c>
      <c r="M43" s="42" t="str">
        <f aca="false">IF(G43="","",INDEX(Inputs!$B$12:$B$16,MATCH(G43,Inputs!$A$12:$A$16,0)))</f>
        <v/>
      </c>
      <c r="N43" s="43" t="str">
        <f aca="false">IF(OR(L43="",M43=""),"",L43*M43)</f>
        <v/>
      </c>
      <c r="O43" s="39" t="n">
        <f aca="false">IF(OR(I43="",N43=""),0,I43*N43)</f>
        <v>0</v>
      </c>
      <c r="P43" s="40" t="str">
        <f aca="false">IF(G43="","",INDEX(Inputs!$D$12:$D$16,MATCH(G43,Inputs!$A$12:$A$16,0)))</f>
        <v/>
      </c>
      <c r="Q43" s="14"/>
    </row>
    <row r="44" customFormat="false" ht="15" hidden="false" customHeight="false" outlineLevel="0" collapsed="false">
      <c r="A44" s="35"/>
      <c r="B44" s="36" t="str">
        <f aca="false">IF(A44="","",DATE(YEAR(A44),MONTH(A44),1))</f>
        <v/>
      </c>
      <c r="C44" s="14"/>
      <c r="D44" s="14"/>
      <c r="E44" s="37"/>
      <c r="F44" s="38"/>
      <c r="G44" s="14"/>
      <c r="H44" s="14"/>
      <c r="I44" s="39" t="str">
        <f aca="false">IF(E44="","",E44*12)</f>
        <v/>
      </c>
      <c r="J44" s="39" t="str">
        <f aca="false">IF(OR(E44="",F44=""),"",E44*F44)</f>
        <v/>
      </c>
      <c r="K44" s="40" t="str">
        <f aca="false">IF(E44="","",INDEX(Inputs!$A$6:$A$8,MATCH(E44,Inputs!$B$6:$B$8,1)))</f>
        <v/>
      </c>
      <c r="L44" s="41" t="str">
        <f aca="false">IF(OR(E44="",H44=""),"",INDEX(Inputs!$C$6:$E$8,MATCH(E44,Inputs!$B$6:$B$8,1),MATCH(H44,Inputs!$A$20:$A$22,0)))</f>
        <v/>
      </c>
      <c r="M44" s="42" t="str">
        <f aca="false">IF(G44="","",INDEX(Inputs!$B$12:$B$16,MATCH(G44,Inputs!$A$12:$A$16,0)))</f>
        <v/>
      </c>
      <c r="N44" s="43" t="str">
        <f aca="false">IF(OR(L44="",M44=""),"",L44*M44)</f>
        <v/>
      </c>
      <c r="O44" s="39" t="n">
        <f aca="false">IF(OR(I44="",N44=""),0,I44*N44)</f>
        <v>0</v>
      </c>
      <c r="P44" s="40" t="str">
        <f aca="false">IF(G44="","",INDEX(Inputs!$D$12:$D$16,MATCH(G44,Inputs!$A$12:$A$16,0)))</f>
        <v/>
      </c>
      <c r="Q44" s="14"/>
    </row>
    <row r="45" customFormat="false" ht="15" hidden="false" customHeight="false" outlineLevel="0" collapsed="false">
      <c r="A45" s="35"/>
      <c r="B45" s="36" t="str">
        <f aca="false">IF(A45="","",DATE(YEAR(A45),MONTH(A45),1))</f>
        <v/>
      </c>
      <c r="C45" s="14"/>
      <c r="D45" s="14"/>
      <c r="E45" s="37"/>
      <c r="F45" s="38"/>
      <c r="G45" s="14"/>
      <c r="H45" s="14"/>
      <c r="I45" s="39" t="str">
        <f aca="false">IF(E45="","",E45*12)</f>
        <v/>
      </c>
      <c r="J45" s="39" t="str">
        <f aca="false">IF(OR(E45="",F45=""),"",E45*F45)</f>
        <v/>
      </c>
      <c r="K45" s="40" t="str">
        <f aca="false">IF(E45="","",INDEX(Inputs!$A$6:$A$8,MATCH(E45,Inputs!$B$6:$B$8,1)))</f>
        <v/>
      </c>
      <c r="L45" s="41" t="str">
        <f aca="false">IF(OR(E45="",H45=""),"",INDEX(Inputs!$C$6:$E$8,MATCH(E45,Inputs!$B$6:$B$8,1),MATCH(H45,Inputs!$A$20:$A$22,0)))</f>
        <v/>
      </c>
      <c r="M45" s="42" t="str">
        <f aca="false">IF(G45="","",INDEX(Inputs!$B$12:$B$16,MATCH(G45,Inputs!$A$12:$A$16,0)))</f>
        <v/>
      </c>
      <c r="N45" s="43" t="str">
        <f aca="false">IF(OR(L45="",M45=""),"",L45*M45)</f>
        <v/>
      </c>
      <c r="O45" s="39" t="n">
        <f aca="false">IF(OR(I45="",N45=""),0,I45*N45)</f>
        <v>0</v>
      </c>
      <c r="P45" s="40" t="str">
        <f aca="false">IF(G45="","",INDEX(Inputs!$D$12:$D$16,MATCH(G45,Inputs!$A$12:$A$16,0)))</f>
        <v/>
      </c>
      <c r="Q45" s="14"/>
    </row>
    <row r="46" customFormat="false" ht="15" hidden="false" customHeight="false" outlineLevel="0" collapsed="false">
      <c r="A46" s="35"/>
      <c r="B46" s="36" t="str">
        <f aca="false">IF(A46="","",DATE(YEAR(A46),MONTH(A46),1))</f>
        <v/>
      </c>
      <c r="C46" s="14"/>
      <c r="D46" s="14"/>
      <c r="E46" s="37"/>
      <c r="F46" s="38"/>
      <c r="G46" s="14"/>
      <c r="H46" s="14"/>
      <c r="I46" s="39" t="str">
        <f aca="false">IF(E46="","",E46*12)</f>
        <v/>
      </c>
      <c r="J46" s="39" t="str">
        <f aca="false">IF(OR(E46="",F46=""),"",E46*F46)</f>
        <v/>
      </c>
      <c r="K46" s="40" t="str">
        <f aca="false">IF(E46="","",INDEX(Inputs!$A$6:$A$8,MATCH(E46,Inputs!$B$6:$B$8,1)))</f>
        <v/>
      </c>
      <c r="L46" s="41" t="str">
        <f aca="false">IF(OR(E46="",H46=""),"",INDEX(Inputs!$C$6:$E$8,MATCH(E46,Inputs!$B$6:$B$8,1),MATCH(H46,Inputs!$A$20:$A$22,0)))</f>
        <v/>
      </c>
      <c r="M46" s="42" t="str">
        <f aca="false">IF(G46="","",INDEX(Inputs!$B$12:$B$16,MATCH(G46,Inputs!$A$12:$A$16,0)))</f>
        <v/>
      </c>
      <c r="N46" s="43" t="str">
        <f aca="false">IF(OR(L46="",M46=""),"",L46*M46)</f>
        <v/>
      </c>
      <c r="O46" s="39" t="n">
        <f aca="false">IF(OR(I46="",N46=""),0,I46*N46)</f>
        <v>0</v>
      </c>
      <c r="P46" s="40" t="str">
        <f aca="false">IF(G46="","",INDEX(Inputs!$D$12:$D$16,MATCH(G46,Inputs!$A$12:$A$16,0)))</f>
        <v/>
      </c>
      <c r="Q46" s="14"/>
    </row>
    <row r="47" customFormat="false" ht="15" hidden="false" customHeight="false" outlineLevel="0" collapsed="false">
      <c r="A47" s="35"/>
      <c r="B47" s="36" t="str">
        <f aca="false">IF(A47="","",DATE(YEAR(A47),MONTH(A47),1))</f>
        <v/>
      </c>
      <c r="C47" s="14"/>
      <c r="D47" s="14"/>
      <c r="E47" s="37"/>
      <c r="F47" s="38"/>
      <c r="G47" s="14"/>
      <c r="H47" s="14"/>
      <c r="I47" s="39" t="str">
        <f aca="false">IF(E47="","",E47*12)</f>
        <v/>
      </c>
      <c r="J47" s="39" t="str">
        <f aca="false">IF(OR(E47="",F47=""),"",E47*F47)</f>
        <v/>
      </c>
      <c r="K47" s="40" t="str">
        <f aca="false">IF(E47="","",INDEX(Inputs!$A$6:$A$8,MATCH(E47,Inputs!$B$6:$B$8,1)))</f>
        <v/>
      </c>
      <c r="L47" s="41" t="str">
        <f aca="false">IF(OR(E47="",H47=""),"",INDEX(Inputs!$C$6:$E$8,MATCH(E47,Inputs!$B$6:$B$8,1),MATCH(H47,Inputs!$A$20:$A$22,0)))</f>
        <v/>
      </c>
      <c r="M47" s="42" t="str">
        <f aca="false">IF(G47="","",INDEX(Inputs!$B$12:$B$16,MATCH(G47,Inputs!$A$12:$A$16,0)))</f>
        <v/>
      </c>
      <c r="N47" s="43" t="str">
        <f aca="false">IF(OR(L47="",M47=""),"",L47*M47)</f>
        <v/>
      </c>
      <c r="O47" s="39" t="n">
        <f aca="false">IF(OR(I47="",N47=""),0,I47*N47)</f>
        <v>0</v>
      </c>
      <c r="P47" s="40" t="str">
        <f aca="false">IF(G47="","",INDEX(Inputs!$D$12:$D$16,MATCH(G47,Inputs!$A$12:$A$16,0)))</f>
        <v/>
      </c>
      <c r="Q47" s="14"/>
    </row>
    <row r="48" customFormat="false" ht="15" hidden="false" customHeight="false" outlineLevel="0" collapsed="false">
      <c r="A48" s="35"/>
      <c r="B48" s="36" t="str">
        <f aca="false">IF(A48="","",DATE(YEAR(A48),MONTH(A48),1))</f>
        <v/>
      </c>
      <c r="C48" s="14"/>
      <c r="D48" s="14"/>
      <c r="E48" s="37"/>
      <c r="F48" s="38"/>
      <c r="G48" s="14"/>
      <c r="H48" s="14"/>
      <c r="I48" s="39" t="str">
        <f aca="false">IF(E48="","",E48*12)</f>
        <v/>
      </c>
      <c r="J48" s="39" t="str">
        <f aca="false">IF(OR(E48="",F48=""),"",E48*F48)</f>
        <v/>
      </c>
      <c r="K48" s="40" t="str">
        <f aca="false">IF(E48="","",INDEX(Inputs!$A$6:$A$8,MATCH(E48,Inputs!$B$6:$B$8,1)))</f>
        <v/>
      </c>
      <c r="L48" s="41" t="str">
        <f aca="false">IF(OR(E48="",H48=""),"",INDEX(Inputs!$C$6:$E$8,MATCH(E48,Inputs!$B$6:$B$8,1),MATCH(H48,Inputs!$A$20:$A$22,0)))</f>
        <v/>
      </c>
      <c r="M48" s="42" t="str">
        <f aca="false">IF(G48="","",INDEX(Inputs!$B$12:$B$16,MATCH(G48,Inputs!$A$12:$A$16,0)))</f>
        <v/>
      </c>
      <c r="N48" s="43" t="str">
        <f aca="false">IF(OR(L48="",M48=""),"",L48*M48)</f>
        <v/>
      </c>
      <c r="O48" s="39" t="n">
        <f aca="false">IF(OR(I48="",N48=""),0,I48*N48)</f>
        <v>0</v>
      </c>
      <c r="P48" s="40" t="str">
        <f aca="false">IF(G48="","",INDEX(Inputs!$D$12:$D$16,MATCH(G48,Inputs!$A$12:$A$16,0)))</f>
        <v/>
      </c>
      <c r="Q48" s="14"/>
    </row>
    <row r="49" customFormat="false" ht="15" hidden="false" customHeight="false" outlineLevel="0" collapsed="false">
      <c r="A49" s="35"/>
      <c r="B49" s="36" t="str">
        <f aca="false">IF(A49="","",DATE(YEAR(A49),MONTH(A49),1))</f>
        <v/>
      </c>
      <c r="C49" s="14"/>
      <c r="D49" s="14"/>
      <c r="E49" s="37"/>
      <c r="F49" s="38"/>
      <c r="G49" s="14"/>
      <c r="H49" s="14"/>
      <c r="I49" s="39" t="str">
        <f aca="false">IF(E49="","",E49*12)</f>
        <v/>
      </c>
      <c r="J49" s="39" t="str">
        <f aca="false">IF(OR(E49="",F49=""),"",E49*F49)</f>
        <v/>
      </c>
      <c r="K49" s="40" t="str">
        <f aca="false">IF(E49="","",INDEX(Inputs!$A$6:$A$8,MATCH(E49,Inputs!$B$6:$B$8,1)))</f>
        <v/>
      </c>
      <c r="L49" s="41" t="str">
        <f aca="false">IF(OR(E49="",H49=""),"",INDEX(Inputs!$C$6:$E$8,MATCH(E49,Inputs!$B$6:$B$8,1),MATCH(H49,Inputs!$A$20:$A$22,0)))</f>
        <v/>
      </c>
      <c r="M49" s="42" t="str">
        <f aca="false">IF(G49="","",INDEX(Inputs!$B$12:$B$16,MATCH(G49,Inputs!$A$12:$A$16,0)))</f>
        <v/>
      </c>
      <c r="N49" s="43" t="str">
        <f aca="false">IF(OR(L49="",M49=""),"",L49*M49)</f>
        <v/>
      </c>
      <c r="O49" s="39" t="n">
        <f aca="false">IF(OR(I49="",N49=""),0,I49*N49)</f>
        <v>0</v>
      </c>
      <c r="P49" s="40" t="str">
        <f aca="false">IF(G49="","",INDEX(Inputs!$D$12:$D$16,MATCH(G49,Inputs!$A$12:$A$16,0)))</f>
        <v/>
      </c>
      <c r="Q49" s="14"/>
    </row>
    <row r="50" customFormat="false" ht="15" hidden="false" customHeight="false" outlineLevel="0" collapsed="false">
      <c r="A50" s="35"/>
      <c r="B50" s="36" t="str">
        <f aca="false">IF(A50="","",DATE(YEAR(A50),MONTH(A50),1))</f>
        <v/>
      </c>
      <c r="C50" s="14"/>
      <c r="D50" s="14"/>
      <c r="E50" s="37"/>
      <c r="F50" s="38"/>
      <c r="G50" s="14"/>
      <c r="H50" s="14"/>
      <c r="I50" s="39" t="str">
        <f aca="false">IF(E50="","",E50*12)</f>
        <v/>
      </c>
      <c r="J50" s="39" t="str">
        <f aca="false">IF(OR(E50="",F50=""),"",E50*F50)</f>
        <v/>
      </c>
      <c r="K50" s="40" t="str">
        <f aca="false">IF(E50="","",INDEX(Inputs!$A$6:$A$8,MATCH(E50,Inputs!$B$6:$B$8,1)))</f>
        <v/>
      </c>
      <c r="L50" s="41" t="str">
        <f aca="false">IF(OR(E50="",H50=""),"",INDEX(Inputs!$C$6:$E$8,MATCH(E50,Inputs!$B$6:$B$8,1),MATCH(H50,Inputs!$A$20:$A$22,0)))</f>
        <v/>
      </c>
      <c r="M50" s="42" t="str">
        <f aca="false">IF(G50="","",INDEX(Inputs!$B$12:$B$16,MATCH(G50,Inputs!$A$12:$A$16,0)))</f>
        <v/>
      </c>
      <c r="N50" s="43" t="str">
        <f aca="false">IF(OR(L50="",M50=""),"",L50*M50)</f>
        <v/>
      </c>
      <c r="O50" s="39" t="n">
        <f aca="false">IF(OR(I50="",N50=""),0,I50*N50)</f>
        <v>0</v>
      </c>
      <c r="P50" s="40" t="str">
        <f aca="false">IF(G50="","",INDEX(Inputs!$D$12:$D$16,MATCH(G50,Inputs!$A$12:$A$16,0)))</f>
        <v/>
      </c>
      <c r="Q50" s="14"/>
    </row>
    <row r="51" customFormat="false" ht="15" hidden="false" customHeight="false" outlineLevel="0" collapsed="false">
      <c r="A51" s="35"/>
      <c r="B51" s="36" t="str">
        <f aca="false">IF(A51="","",DATE(YEAR(A51),MONTH(A51),1))</f>
        <v/>
      </c>
      <c r="C51" s="14"/>
      <c r="D51" s="14"/>
      <c r="E51" s="37"/>
      <c r="F51" s="38"/>
      <c r="G51" s="14"/>
      <c r="H51" s="14"/>
      <c r="I51" s="39" t="str">
        <f aca="false">IF(E51="","",E51*12)</f>
        <v/>
      </c>
      <c r="J51" s="39" t="str">
        <f aca="false">IF(OR(E51="",F51=""),"",E51*F51)</f>
        <v/>
      </c>
      <c r="K51" s="40" t="str">
        <f aca="false">IF(E51="","",INDEX(Inputs!$A$6:$A$8,MATCH(E51,Inputs!$B$6:$B$8,1)))</f>
        <v/>
      </c>
      <c r="L51" s="41" t="str">
        <f aca="false">IF(OR(E51="",H51=""),"",INDEX(Inputs!$C$6:$E$8,MATCH(E51,Inputs!$B$6:$B$8,1),MATCH(H51,Inputs!$A$20:$A$22,0)))</f>
        <v/>
      </c>
      <c r="M51" s="42" t="str">
        <f aca="false">IF(G51="","",INDEX(Inputs!$B$12:$B$16,MATCH(G51,Inputs!$A$12:$A$16,0)))</f>
        <v/>
      </c>
      <c r="N51" s="43" t="str">
        <f aca="false">IF(OR(L51="",M51=""),"",L51*M51)</f>
        <v/>
      </c>
      <c r="O51" s="39" t="n">
        <f aca="false">IF(OR(I51="",N51=""),0,I51*N51)</f>
        <v>0</v>
      </c>
      <c r="P51" s="40" t="str">
        <f aca="false">IF(G51="","",INDEX(Inputs!$D$12:$D$16,MATCH(G51,Inputs!$A$12:$A$16,0)))</f>
        <v/>
      </c>
      <c r="Q51" s="14"/>
    </row>
    <row r="52" customFormat="false" ht="15" hidden="false" customHeight="false" outlineLevel="0" collapsed="false">
      <c r="A52" s="35"/>
      <c r="B52" s="36" t="str">
        <f aca="false">IF(A52="","",DATE(YEAR(A52),MONTH(A52),1))</f>
        <v/>
      </c>
      <c r="C52" s="14"/>
      <c r="D52" s="14"/>
      <c r="E52" s="37"/>
      <c r="F52" s="38"/>
      <c r="G52" s="14"/>
      <c r="H52" s="14"/>
      <c r="I52" s="39" t="str">
        <f aca="false">IF(E52="","",E52*12)</f>
        <v/>
      </c>
      <c r="J52" s="39" t="str">
        <f aca="false">IF(OR(E52="",F52=""),"",E52*F52)</f>
        <v/>
      </c>
      <c r="K52" s="40" t="str">
        <f aca="false">IF(E52="","",INDEX(Inputs!$A$6:$A$8,MATCH(E52,Inputs!$B$6:$B$8,1)))</f>
        <v/>
      </c>
      <c r="L52" s="41" t="str">
        <f aca="false">IF(OR(E52="",H52=""),"",INDEX(Inputs!$C$6:$E$8,MATCH(E52,Inputs!$B$6:$B$8,1),MATCH(H52,Inputs!$A$20:$A$22,0)))</f>
        <v/>
      </c>
      <c r="M52" s="42" t="str">
        <f aca="false">IF(G52="","",INDEX(Inputs!$B$12:$B$16,MATCH(G52,Inputs!$A$12:$A$16,0)))</f>
        <v/>
      </c>
      <c r="N52" s="43" t="str">
        <f aca="false">IF(OR(L52="",M52=""),"",L52*M52)</f>
        <v/>
      </c>
      <c r="O52" s="39" t="n">
        <f aca="false">IF(OR(I52="",N52=""),0,I52*N52)</f>
        <v>0</v>
      </c>
      <c r="P52" s="40" t="str">
        <f aca="false">IF(G52="","",INDEX(Inputs!$D$12:$D$16,MATCH(G52,Inputs!$A$12:$A$16,0)))</f>
        <v/>
      </c>
      <c r="Q52" s="14"/>
    </row>
    <row r="53" customFormat="false" ht="15" hidden="false" customHeight="false" outlineLevel="0" collapsed="false">
      <c r="A53" s="35"/>
      <c r="B53" s="36" t="str">
        <f aca="false">IF(A53="","",DATE(YEAR(A53),MONTH(A53),1))</f>
        <v/>
      </c>
      <c r="C53" s="14"/>
      <c r="D53" s="14"/>
      <c r="E53" s="37"/>
      <c r="F53" s="38"/>
      <c r="G53" s="14"/>
      <c r="H53" s="14"/>
      <c r="I53" s="39" t="str">
        <f aca="false">IF(E53="","",E53*12)</f>
        <v/>
      </c>
      <c r="J53" s="39" t="str">
        <f aca="false">IF(OR(E53="",F53=""),"",E53*F53)</f>
        <v/>
      </c>
      <c r="K53" s="40" t="str">
        <f aca="false">IF(E53="","",INDEX(Inputs!$A$6:$A$8,MATCH(E53,Inputs!$B$6:$B$8,1)))</f>
        <v/>
      </c>
      <c r="L53" s="41" t="str">
        <f aca="false">IF(OR(E53="",H53=""),"",INDEX(Inputs!$C$6:$E$8,MATCH(E53,Inputs!$B$6:$B$8,1),MATCH(H53,Inputs!$A$20:$A$22,0)))</f>
        <v/>
      </c>
      <c r="M53" s="42" t="str">
        <f aca="false">IF(G53="","",INDEX(Inputs!$B$12:$B$16,MATCH(G53,Inputs!$A$12:$A$16,0)))</f>
        <v/>
      </c>
      <c r="N53" s="43" t="str">
        <f aca="false">IF(OR(L53="",M53=""),"",L53*M53)</f>
        <v/>
      </c>
      <c r="O53" s="39" t="n">
        <f aca="false">IF(OR(I53="",N53=""),0,I53*N53)</f>
        <v>0</v>
      </c>
      <c r="P53" s="40" t="str">
        <f aca="false">IF(G53="","",INDEX(Inputs!$D$12:$D$16,MATCH(G53,Inputs!$A$12:$A$16,0)))</f>
        <v/>
      </c>
      <c r="Q53" s="14"/>
    </row>
    <row r="54" customFormat="false" ht="15" hidden="false" customHeight="false" outlineLevel="0" collapsed="false">
      <c r="A54" s="35"/>
      <c r="B54" s="36" t="str">
        <f aca="false">IF(A54="","",DATE(YEAR(A54),MONTH(A54),1))</f>
        <v/>
      </c>
      <c r="C54" s="14"/>
      <c r="D54" s="14"/>
      <c r="E54" s="37"/>
      <c r="F54" s="38"/>
      <c r="G54" s="14"/>
      <c r="H54" s="14"/>
      <c r="I54" s="39" t="str">
        <f aca="false">IF(E54="","",E54*12)</f>
        <v/>
      </c>
      <c r="J54" s="39" t="str">
        <f aca="false">IF(OR(E54="",F54=""),"",E54*F54)</f>
        <v/>
      </c>
      <c r="K54" s="40" t="str">
        <f aca="false">IF(E54="","",INDEX(Inputs!$A$6:$A$8,MATCH(E54,Inputs!$B$6:$B$8,1)))</f>
        <v/>
      </c>
      <c r="L54" s="41" t="str">
        <f aca="false">IF(OR(E54="",H54=""),"",INDEX(Inputs!$C$6:$E$8,MATCH(E54,Inputs!$B$6:$B$8,1),MATCH(H54,Inputs!$A$20:$A$22,0)))</f>
        <v/>
      </c>
      <c r="M54" s="42" t="str">
        <f aca="false">IF(G54="","",INDEX(Inputs!$B$12:$B$16,MATCH(G54,Inputs!$A$12:$A$16,0)))</f>
        <v/>
      </c>
      <c r="N54" s="43" t="str">
        <f aca="false">IF(OR(L54="",M54=""),"",L54*M54)</f>
        <v/>
      </c>
      <c r="O54" s="39" t="n">
        <f aca="false">IF(OR(I54="",N54=""),0,I54*N54)</f>
        <v>0</v>
      </c>
      <c r="P54" s="40" t="str">
        <f aca="false">IF(G54="","",INDEX(Inputs!$D$12:$D$16,MATCH(G54,Inputs!$A$12:$A$16,0)))</f>
        <v/>
      </c>
      <c r="Q54" s="14"/>
    </row>
    <row r="55" customFormat="false" ht="15" hidden="false" customHeight="false" outlineLevel="0" collapsed="false">
      <c r="A55" s="35"/>
      <c r="B55" s="36" t="str">
        <f aca="false">IF(A55="","",DATE(YEAR(A55),MONTH(A55),1))</f>
        <v/>
      </c>
      <c r="C55" s="14"/>
      <c r="D55" s="14"/>
      <c r="E55" s="37"/>
      <c r="F55" s="38"/>
      <c r="G55" s="14"/>
      <c r="H55" s="14"/>
      <c r="I55" s="39" t="str">
        <f aca="false">IF(E55="","",E55*12)</f>
        <v/>
      </c>
      <c r="J55" s="39" t="str">
        <f aca="false">IF(OR(E55="",F55=""),"",E55*F55)</f>
        <v/>
      </c>
      <c r="K55" s="40" t="str">
        <f aca="false">IF(E55="","",INDEX(Inputs!$A$6:$A$8,MATCH(E55,Inputs!$B$6:$B$8,1)))</f>
        <v/>
      </c>
      <c r="L55" s="41" t="str">
        <f aca="false">IF(OR(E55="",H55=""),"",INDEX(Inputs!$C$6:$E$8,MATCH(E55,Inputs!$B$6:$B$8,1),MATCH(H55,Inputs!$A$20:$A$22,0)))</f>
        <v/>
      </c>
      <c r="M55" s="42" t="str">
        <f aca="false">IF(G55="","",INDEX(Inputs!$B$12:$B$16,MATCH(G55,Inputs!$A$12:$A$16,0)))</f>
        <v/>
      </c>
      <c r="N55" s="43" t="str">
        <f aca="false">IF(OR(L55="",M55=""),"",L55*M55)</f>
        <v/>
      </c>
      <c r="O55" s="39" t="n">
        <f aca="false">IF(OR(I55="",N55=""),0,I55*N55)</f>
        <v>0</v>
      </c>
      <c r="P55" s="40" t="str">
        <f aca="false">IF(G55="","",INDEX(Inputs!$D$12:$D$16,MATCH(G55,Inputs!$A$12:$A$16,0)))</f>
        <v/>
      </c>
      <c r="Q55" s="14"/>
    </row>
    <row r="56" customFormat="false" ht="15" hidden="false" customHeight="false" outlineLevel="0" collapsed="false">
      <c r="A56" s="35"/>
      <c r="B56" s="36" t="str">
        <f aca="false">IF(A56="","",DATE(YEAR(A56),MONTH(A56),1))</f>
        <v/>
      </c>
      <c r="C56" s="14"/>
      <c r="D56" s="14"/>
      <c r="E56" s="37"/>
      <c r="F56" s="38"/>
      <c r="G56" s="14"/>
      <c r="H56" s="14"/>
      <c r="I56" s="39" t="str">
        <f aca="false">IF(E56="","",E56*12)</f>
        <v/>
      </c>
      <c r="J56" s="39" t="str">
        <f aca="false">IF(OR(E56="",F56=""),"",E56*F56)</f>
        <v/>
      </c>
      <c r="K56" s="40" t="str">
        <f aca="false">IF(E56="","",INDEX(Inputs!$A$6:$A$8,MATCH(E56,Inputs!$B$6:$B$8,1)))</f>
        <v/>
      </c>
      <c r="L56" s="41" t="str">
        <f aca="false">IF(OR(E56="",H56=""),"",INDEX(Inputs!$C$6:$E$8,MATCH(E56,Inputs!$B$6:$B$8,1),MATCH(H56,Inputs!$A$20:$A$22,0)))</f>
        <v/>
      </c>
      <c r="M56" s="42" t="str">
        <f aca="false">IF(G56="","",INDEX(Inputs!$B$12:$B$16,MATCH(G56,Inputs!$A$12:$A$16,0)))</f>
        <v/>
      </c>
      <c r="N56" s="43" t="str">
        <f aca="false">IF(OR(L56="",M56=""),"",L56*M56)</f>
        <v/>
      </c>
      <c r="O56" s="39" t="n">
        <f aca="false">IF(OR(I56="",N56=""),0,I56*N56)</f>
        <v>0</v>
      </c>
      <c r="P56" s="40" t="str">
        <f aca="false">IF(G56="","",INDEX(Inputs!$D$12:$D$16,MATCH(G56,Inputs!$A$12:$A$16,0)))</f>
        <v/>
      </c>
      <c r="Q56" s="14"/>
    </row>
    <row r="57" customFormat="false" ht="15" hidden="false" customHeight="false" outlineLevel="0" collapsed="false">
      <c r="A57" s="35"/>
      <c r="B57" s="36" t="str">
        <f aca="false">IF(A57="","",DATE(YEAR(A57),MONTH(A57),1))</f>
        <v/>
      </c>
      <c r="C57" s="14"/>
      <c r="D57" s="14"/>
      <c r="E57" s="37"/>
      <c r="F57" s="38"/>
      <c r="G57" s="14"/>
      <c r="H57" s="14"/>
      <c r="I57" s="39" t="str">
        <f aca="false">IF(E57="","",E57*12)</f>
        <v/>
      </c>
      <c r="J57" s="39" t="str">
        <f aca="false">IF(OR(E57="",F57=""),"",E57*F57)</f>
        <v/>
      </c>
      <c r="K57" s="40" t="str">
        <f aca="false">IF(E57="","",INDEX(Inputs!$A$6:$A$8,MATCH(E57,Inputs!$B$6:$B$8,1)))</f>
        <v/>
      </c>
      <c r="L57" s="41" t="str">
        <f aca="false">IF(OR(E57="",H57=""),"",INDEX(Inputs!$C$6:$E$8,MATCH(E57,Inputs!$B$6:$B$8,1),MATCH(H57,Inputs!$A$20:$A$22,0)))</f>
        <v/>
      </c>
      <c r="M57" s="42" t="str">
        <f aca="false">IF(G57="","",INDEX(Inputs!$B$12:$B$16,MATCH(G57,Inputs!$A$12:$A$16,0)))</f>
        <v/>
      </c>
      <c r="N57" s="43" t="str">
        <f aca="false">IF(OR(L57="",M57=""),"",L57*M57)</f>
        <v/>
      </c>
      <c r="O57" s="39" t="n">
        <f aca="false">IF(OR(I57="",N57=""),0,I57*N57)</f>
        <v>0</v>
      </c>
      <c r="P57" s="40" t="str">
        <f aca="false">IF(G57="","",INDEX(Inputs!$D$12:$D$16,MATCH(G57,Inputs!$A$12:$A$16,0)))</f>
        <v/>
      </c>
      <c r="Q57" s="14"/>
    </row>
    <row r="58" customFormat="false" ht="15" hidden="false" customHeight="false" outlineLevel="0" collapsed="false">
      <c r="A58" s="35"/>
      <c r="B58" s="36" t="str">
        <f aca="false">IF(A58="","",DATE(YEAR(A58),MONTH(A58),1))</f>
        <v/>
      </c>
      <c r="C58" s="14"/>
      <c r="D58" s="14"/>
      <c r="E58" s="37"/>
      <c r="F58" s="38"/>
      <c r="G58" s="14"/>
      <c r="H58" s="14"/>
      <c r="I58" s="39" t="str">
        <f aca="false">IF(E58="","",E58*12)</f>
        <v/>
      </c>
      <c r="J58" s="39" t="str">
        <f aca="false">IF(OR(E58="",F58=""),"",E58*F58)</f>
        <v/>
      </c>
      <c r="K58" s="40" t="str">
        <f aca="false">IF(E58="","",INDEX(Inputs!$A$6:$A$8,MATCH(E58,Inputs!$B$6:$B$8,1)))</f>
        <v/>
      </c>
      <c r="L58" s="41" t="str">
        <f aca="false">IF(OR(E58="",H58=""),"",INDEX(Inputs!$C$6:$E$8,MATCH(E58,Inputs!$B$6:$B$8,1),MATCH(H58,Inputs!$A$20:$A$22,0)))</f>
        <v/>
      </c>
      <c r="M58" s="42" t="str">
        <f aca="false">IF(G58="","",INDEX(Inputs!$B$12:$B$16,MATCH(G58,Inputs!$A$12:$A$16,0)))</f>
        <v/>
      </c>
      <c r="N58" s="43" t="str">
        <f aca="false">IF(OR(L58="",M58=""),"",L58*M58)</f>
        <v/>
      </c>
      <c r="O58" s="39" t="n">
        <f aca="false">IF(OR(I58="",N58=""),0,I58*N58)</f>
        <v>0</v>
      </c>
      <c r="P58" s="40" t="str">
        <f aca="false">IF(G58="","",INDEX(Inputs!$D$12:$D$16,MATCH(G58,Inputs!$A$12:$A$16,0)))</f>
        <v/>
      </c>
      <c r="Q58" s="14"/>
    </row>
    <row r="59" customFormat="false" ht="15" hidden="false" customHeight="false" outlineLevel="0" collapsed="false">
      <c r="A59" s="35"/>
      <c r="B59" s="36" t="str">
        <f aca="false">IF(A59="","",DATE(YEAR(A59),MONTH(A59),1))</f>
        <v/>
      </c>
      <c r="C59" s="14"/>
      <c r="D59" s="14"/>
      <c r="E59" s="37"/>
      <c r="F59" s="38"/>
      <c r="G59" s="14"/>
      <c r="H59" s="14"/>
      <c r="I59" s="39" t="str">
        <f aca="false">IF(E59="","",E59*12)</f>
        <v/>
      </c>
      <c r="J59" s="39" t="str">
        <f aca="false">IF(OR(E59="",F59=""),"",E59*F59)</f>
        <v/>
      </c>
      <c r="K59" s="40" t="str">
        <f aca="false">IF(E59="","",INDEX(Inputs!$A$6:$A$8,MATCH(E59,Inputs!$B$6:$B$8,1)))</f>
        <v/>
      </c>
      <c r="L59" s="41" t="str">
        <f aca="false">IF(OR(E59="",H59=""),"",INDEX(Inputs!$C$6:$E$8,MATCH(E59,Inputs!$B$6:$B$8,1),MATCH(H59,Inputs!$A$20:$A$22,0)))</f>
        <v/>
      </c>
      <c r="M59" s="42" t="str">
        <f aca="false">IF(G59="","",INDEX(Inputs!$B$12:$B$16,MATCH(G59,Inputs!$A$12:$A$16,0)))</f>
        <v/>
      </c>
      <c r="N59" s="43" t="str">
        <f aca="false">IF(OR(L59="",M59=""),"",L59*M59)</f>
        <v/>
      </c>
      <c r="O59" s="39" t="n">
        <f aca="false">IF(OR(I59="",N59=""),0,I59*N59)</f>
        <v>0</v>
      </c>
      <c r="P59" s="40" t="str">
        <f aca="false">IF(G59="","",INDEX(Inputs!$D$12:$D$16,MATCH(G59,Inputs!$A$12:$A$16,0)))</f>
        <v/>
      </c>
      <c r="Q59" s="14"/>
    </row>
    <row r="60" customFormat="false" ht="15" hidden="false" customHeight="false" outlineLevel="0" collapsed="false">
      <c r="A60" s="35"/>
      <c r="B60" s="36" t="str">
        <f aca="false">IF(A60="","",DATE(YEAR(A60),MONTH(A60),1))</f>
        <v/>
      </c>
      <c r="C60" s="14"/>
      <c r="D60" s="14"/>
      <c r="E60" s="37"/>
      <c r="F60" s="38"/>
      <c r="G60" s="14"/>
      <c r="H60" s="14"/>
      <c r="I60" s="39" t="str">
        <f aca="false">IF(E60="","",E60*12)</f>
        <v/>
      </c>
      <c r="J60" s="39" t="str">
        <f aca="false">IF(OR(E60="",F60=""),"",E60*F60)</f>
        <v/>
      </c>
      <c r="K60" s="40" t="str">
        <f aca="false">IF(E60="","",INDEX(Inputs!$A$6:$A$8,MATCH(E60,Inputs!$B$6:$B$8,1)))</f>
        <v/>
      </c>
      <c r="L60" s="41" t="str">
        <f aca="false">IF(OR(E60="",H60=""),"",INDEX(Inputs!$C$6:$E$8,MATCH(E60,Inputs!$B$6:$B$8,1),MATCH(H60,Inputs!$A$20:$A$22,0)))</f>
        <v/>
      </c>
      <c r="M60" s="42" t="str">
        <f aca="false">IF(G60="","",INDEX(Inputs!$B$12:$B$16,MATCH(G60,Inputs!$A$12:$A$16,0)))</f>
        <v/>
      </c>
      <c r="N60" s="43" t="str">
        <f aca="false">IF(OR(L60="",M60=""),"",L60*M60)</f>
        <v/>
      </c>
      <c r="O60" s="39" t="n">
        <f aca="false">IF(OR(I60="",N60=""),0,I60*N60)</f>
        <v>0</v>
      </c>
      <c r="P60" s="40" t="str">
        <f aca="false">IF(G60="","",INDEX(Inputs!$D$12:$D$16,MATCH(G60,Inputs!$A$12:$A$16,0)))</f>
        <v/>
      </c>
      <c r="Q60" s="14"/>
    </row>
    <row r="61" customFormat="false" ht="15" hidden="false" customHeight="false" outlineLevel="0" collapsed="false">
      <c r="A61" s="35"/>
      <c r="B61" s="36" t="str">
        <f aca="false">IF(A61="","",DATE(YEAR(A61),MONTH(A61),1))</f>
        <v/>
      </c>
      <c r="C61" s="14"/>
      <c r="D61" s="14"/>
      <c r="E61" s="37"/>
      <c r="F61" s="38"/>
      <c r="G61" s="14"/>
      <c r="H61" s="14"/>
      <c r="I61" s="39" t="str">
        <f aca="false">IF(E61="","",E61*12)</f>
        <v/>
      </c>
      <c r="J61" s="39" t="str">
        <f aca="false">IF(OR(E61="",F61=""),"",E61*F61)</f>
        <v/>
      </c>
      <c r="K61" s="40" t="str">
        <f aca="false">IF(E61="","",INDEX(Inputs!$A$6:$A$8,MATCH(E61,Inputs!$B$6:$B$8,1)))</f>
        <v/>
      </c>
      <c r="L61" s="41" t="str">
        <f aca="false">IF(OR(E61="",H61=""),"",INDEX(Inputs!$C$6:$E$8,MATCH(E61,Inputs!$B$6:$B$8,1),MATCH(H61,Inputs!$A$20:$A$22,0)))</f>
        <v/>
      </c>
      <c r="M61" s="42" t="str">
        <f aca="false">IF(G61="","",INDEX(Inputs!$B$12:$B$16,MATCH(G61,Inputs!$A$12:$A$16,0)))</f>
        <v/>
      </c>
      <c r="N61" s="43" t="str">
        <f aca="false">IF(OR(L61="",M61=""),"",L61*M61)</f>
        <v/>
      </c>
      <c r="O61" s="39" t="n">
        <f aca="false">IF(OR(I61="",N61=""),0,I61*N61)</f>
        <v>0</v>
      </c>
      <c r="P61" s="40" t="str">
        <f aca="false">IF(G61="","",INDEX(Inputs!$D$12:$D$16,MATCH(G61,Inputs!$A$12:$A$16,0)))</f>
        <v/>
      </c>
      <c r="Q61" s="14"/>
    </row>
    <row r="62" customFormat="false" ht="15" hidden="false" customHeight="false" outlineLevel="0" collapsed="false">
      <c r="A62" s="35"/>
      <c r="B62" s="36" t="str">
        <f aca="false">IF(A62="","",DATE(YEAR(A62),MONTH(A62),1))</f>
        <v/>
      </c>
      <c r="C62" s="14"/>
      <c r="D62" s="14"/>
      <c r="E62" s="37"/>
      <c r="F62" s="38"/>
      <c r="G62" s="14"/>
      <c r="H62" s="14"/>
      <c r="I62" s="39" t="str">
        <f aca="false">IF(E62="","",E62*12)</f>
        <v/>
      </c>
      <c r="J62" s="39" t="str">
        <f aca="false">IF(OR(E62="",F62=""),"",E62*F62)</f>
        <v/>
      </c>
      <c r="K62" s="40" t="str">
        <f aca="false">IF(E62="","",INDEX(Inputs!$A$6:$A$8,MATCH(E62,Inputs!$B$6:$B$8,1)))</f>
        <v/>
      </c>
      <c r="L62" s="41" t="str">
        <f aca="false">IF(OR(E62="",H62=""),"",INDEX(Inputs!$C$6:$E$8,MATCH(E62,Inputs!$B$6:$B$8,1),MATCH(H62,Inputs!$A$20:$A$22,0)))</f>
        <v/>
      </c>
      <c r="M62" s="42" t="str">
        <f aca="false">IF(G62="","",INDEX(Inputs!$B$12:$B$16,MATCH(G62,Inputs!$A$12:$A$16,0)))</f>
        <v/>
      </c>
      <c r="N62" s="43" t="str">
        <f aca="false">IF(OR(L62="",M62=""),"",L62*M62)</f>
        <v/>
      </c>
      <c r="O62" s="39" t="n">
        <f aca="false">IF(OR(I62="",N62=""),0,I62*N62)</f>
        <v>0</v>
      </c>
      <c r="P62" s="40" t="str">
        <f aca="false">IF(G62="","",INDEX(Inputs!$D$12:$D$16,MATCH(G62,Inputs!$A$12:$A$16,0)))</f>
        <v/>
      </c>
      <c r="Q62" s="14"/>
    </row>
    <row r="63" customFormat="false" ht="15" hidden="false" customHeight="false" outlineLevel="0" collapsed="false">
      <c r="A63" s="35"/>
      <c r="B63" s="36" t="str">
        <f aca="false">IF(A63="","",DATE(YEAR(A63),MONTH(A63),1))</f>
        <v/>
      </c>
      <c r="C63" s="14"/>
      <c r="D63" s="14"/>
      <c r="E63" s="37"/>
      <c r="F63" s="38"/>
      <c r="G63" s="14"/>
      <c r="H63" s="14"/>
      <c r="I63" s="39" t="str">
        <f aca="false">IF(E63="","",E63*12)</f>
        <v/>
      </c>
      <c r="J63" s="39" t="str">
        <f aca="false">IF(OR(E63="",F63=""),"",E63*F63)</f>
        <v/>
      </c>
      <c r="K63" s="40" t="str">
        <f aca="false">IF(E63="","",INDEX(Inputs!$A$6:$A$8,MATCH(E63,Inputs!$B$6:$B$8,1)))</f>
        <v/>
      </c>
      <c r="L63" s="41" t="str">
        <f aca="false">IF(OR(E63="",H63=""),"",INDEX(Inputs!$C$6:$E$8,MATCH(E63,Inputs!$B$6:$B$8,1),MATCH(H63,Inputs!$A$20:$A$22,0)))</f>
        <v/>
      </c>
      <c r="M63" s="42" t="str">
        <f aca="false">IF(G63="","",INDEX(Inputs!$B$12:$B$16,MATCH(G63,Inputs!$A$12:$A$16,0)))</f>
        <v/>
      </c>
      <c r="N63" s="43" t="str">
        <f aca="false">IF(OR(L63="",M63=""),"",L63*M63)</f>
        <v/>
      </c>
      <c r="O63" s="39" t="n">
        <f aca="false">IF(OR(I63="",N63=""),0,I63*N63)</f>
        <v>0</v>
      </c>
      <c r="P63" s="40" t="str">
        <f aca="false">IF(G63="","",INDEX(Inputs!$D$12:$D$16,MATCH(G63,Inputs!$A$12:$A$16,0)))</f>
        <v/>
      </c>
      <c r="Q63" s="14"/>
    </row>
    <row r="64" customFormat="false" ht="15" hidden="false" customHeight="false" outlineLevel="0" collapsed="false">
      <c r="A64" s="35"/>
      <c r="B64" s="36" t="str">
        <f aca="false">IF(A64="","",DATE(YEAR(A64),MONTH(A64),1))</f>
        <v/>
      </c>
      <c r="C64" s="14"/>
      <c r="D64" s="14"/>
      <c r="E64" s="37"/>
      <c r="F64" s="38"/>
      <c r="G64" s="14"/>
      <c r="H64" s="14"/>
      <c r="I64" s="39" t="str">
        <f aca="false">IF(E64="","",E64*12)</f>
        <v/>
      </c>
      <c r="J64" s="39" t="str">
        <f aca="false">IF(OR(E64="",F64=""),"",E64*F64)</f>
        <v/>
      </c>
      <c r="K64" s="40" t="str">
        <f aca="false">IF(E64="","",INDEX(Inputs!$A$6:$A$8,MATCH(E64,Inputs!$B$6:$B$8,1)))</f>
        <v/>
      </c>
      <c r="L64" s="41" t="str">
        <f aca="false">IF(OR(E64="",H64=""),"",INDEX(Inputs!$C$6:$E$8,MATCH(E64,Inputs!$B$6:$B$8,1),MATCH(H64,Inputs!$A$20:$A$22,0)))</f>
        <v/>
      </c>
      <c r="M64" s="42" t="str">
        <f aca="false">IF(G64="","",INDEX(Inputs!$B$12:$B$16,MATCH(G64,Inputs!$A$12:$A$16,0)))</f>
        <v/>
      </c>
      <c r="N64" s="43" t="str">
        <f aca="false">IF(OR(L64="",M64=""),"",L64*M64)</f>
        <v/>
      </c>
      <c r="O64" s="39" t="n">
        <f aca="false">IF(OR(I64="",N64=""),0,I64*N64)</f>
        <v>0</v>
      </c>
      <c r="P64" s="40" t="str">
        <f aca="false">IF(G64="","",INDEX(Inputs!$D$12:$D$16,MATCH(G64,Inputs!$A$12:$A$16,0)))</f>
        <v/>
      </c>
      <c r="Q64" s="14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4" t="s">
        <v>144</v>
      </c>
      <c r="O65" s="45" t="n">
        <f aca="false">SUM(O5:O64)</f>
        <v>9016.944</v>
      </c>
      <c r="P65" s="1"/>
      <c r="Q65" s="1"/>
    </row>
  </sheetData>
  <dataValidations count="3">
    <dataValidation allowBlank="true" errorStyle="stop" operator="between" showDropDown="false" showErrorMessage="false" showInputMessage="false" sqref="D5:D64" type="list">
      <formula1>"Growth,Scale,Agency,Enterprise,Custom"</formula1>
      <formula2>0</formula2>
    </dataValidation>
    <dataValidation allowBlank="true" errorStyle="stop" operator="between" showDropDown="false" showErrorMessage="false" showInputMessage="false" sqref="G5:G64" type="list">
      <formula1>Inputs!$A$12:$A$16</formula1>
      <formula2>0</formula2>
    </dataValidation>
    <dataValidation allowBlank="true" errorStyle="stop" operator="between" showDropDown="false" showErrorMessage="false" showInputMessage="false" sqref="H5:H64" type="list">
      <formula1>Inputs!$A$20:$A$22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5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6" t="s">
        <v>146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45" hidden="false" customHeight="true" outlineLevel="0" collapsed="false">
      <c r="A4" s="9" t="s">
        <v>127</v>
      </c>
      <c r="B4" s="9" t="s">
        <v>147</v>
      </c>
      <c r="C4" s="9" t="s">
        <v>148</v>
      </c>
      <c r="D4" s="9" t="s">
        <v>149</v>
      </c>
      <c r="E4" s="9" t="s">
        <v>150</v>
      </c>
      <c r="F4" s="9" t="s">
        <v>151</v>
      </c>
      <c r="G4" s="9" t="s">
        <v>152</v>
      </c>
      <c r="H4" s="9" t="s">
        <v>153</v>
      </c>
      <c r="I4" s="9" t="s">
        <v>154</v>
      </c>
      <c r="J4" s="9" t="s">
        <v>155</v>
      </c>
      <c r="K4" s="9" t="s">
        <v>156</v>
      </c>
      <c r="L4" s="9" t="s">
        <v>157</v>
      </c>
      <c r="M4" s="9" t="s">
        <v>158</v>
      </c>
      <c r="N4" s="9" t="s">
        <v>159</v>
      </c>
      <c r="O4" s="9" t="s">
        <v>137</v>
      </c>
    </row>
    <row r="5" customFormat="false" ht="15" hidden="false" customHeight="false" outlineLevel="0" collapsed="false">
      <c r="A5" s="46" t="n">
        <v>46327</v>
      </c>
      <c r="B5" s="38" t="n">
        <v>60</v>
      </c>
      <c r="C5" s="38" t="n">
        <v>14</v>
      </c>
      <c r="D5" s="47" t="n">
        <f aca="false">COUNTIFS('Deal Log'!$B$5:$B$64,A5)</f>
        <v>5</v>
      </c>
      <c r="E5" s="47" t="n">
        <f aca="false">COUNTIFS('Deal Log'!$B$5:$B$64,A5,'Deal Log'!$H$5:$H$64,"&lt;&gt;Self-sourced")</f>
        <v>4</v>
      </c>
      <c r="F5" s="39" t="n">
        <f aca="false">SUMIFS('Deal Log'!$E$5:$E$64,'Deal Log'!$B$5:$B$64,A5)</f>
        <v>6797.4</v>
      </c>
      <c r="G5" s="43" t="n">
        <f aca="false">IF(N(B5)=0,0,E5/B5)</f>
        <v>0.0666666666666667</v>
      </c>
      <c r="H5" s="28" t="n">
        <f aca="false">Inputs!$B$25</f>
        <v>6000</v>
      </c>
      <c r="I5" s="48" t="n">
        <f aca="false">IF(N(H5)=0,0,F5/H5)</f>
        <v>1.1329</v>
      </c>
      <c r="J5" s="49" t="n">
        <f aca="false">INDEX(Inputs!$B$34:$B$38,MATCH(I5,Inputs!$A$34:$A$38,1))</f>
        <v>1</v>
      </c>
      <c r="K5" s="25" t="str">
        <f aca="false">IF(N(B5)=0,"n/a",IF(G5&gt;=Inputs!$B$26,"Yes","No"))</f>
        <v>Yes</v>
      </c>
      <c r="L5" s="49" t="n">
        <f aca="false">J5*IF(K5="No",Inputs!$B$27,1)</f>
        <v>1</v>
      </c>
      <c r="M5" s="39" t="n">
        <f aca="false">SUMIFS('Deal Log'!$O$5:$O$64,'Deal Log'!$B$5:$B$64,A5)</f>
        <v>8057.904</v>
      </c>
      <c r="N5" s="21" t="n">
        <f aca="false">IF(Inputs!$B$28&gt;0,MIN(M5*L5,Inputs!$B$28),M5*L5)</f>
        <v>8057.904</v>
      </c>
      <c r="O5" s="14"/>
    </row>
    <row r="6" customFormat="false" ht="15" hidden="false" customHeight="false" outlineLevel="0" collapsed="false">
      <c r="A6" s="46" t="n">
        <v>46357</v>
      </c>
      <c r="B6" s="38" t="n">
        <v>55</v>
      </c>
      <c r="C6" s="38" t="n">
        <v>12</v>
      </c>
      <c r="D6" s="47" t="n">
        <f aca="false">COUNTIFS('Deal Log'!$B$5:$B$64,A6)</f>
        <v>1</v>
      </c>
      <c r="E6" s="47" t="n">
        <f aca="false">COUNTIFS('Deal Log'!$B$5:$B$64,A6,'Deal Log'!$H$5:$H$64,"&lt;&gt;Self-sourced")</f>
        <v>0</v>
      </c>
      <c r="F6" s="39" t="n">
        <f aca="false">SUMIFS('Deal Log'!$E$5:$E$64,'Deal Log'!$B$5:$B$64,A6)</f>
        <v>799.2</v>
      </c>
      <c r="G6" s="43" t="n">
        <f aca="false">IF(N(B6)=0,0,E6/B6)</f>
        <v>0</v>
      </c>
      <c r="H6" s="28" t="n">
        <f aca="false">Inputs!$B$25</f>
        <v>6000</v>
      </c>
      <c r="I6" s="48" t="n">
        <f aca="false">IF(N(H6)=0,0,F6/H6)</f>
        <v>0.1332</v>
      </c>
      <c r="J6" s="49" t="n">
        <f aca="false">INDEX(Inputs!$B$34:$B$38,MATCH(I6,Inputs!$A$34:$A$38,1))</f>
        <v>0</v>
      </c>
      <c r="K6" s="25" t="str">
        <f aca="false">IF(N(B6)=0,"n/a",IF(G6&gt;=Inputs!$B$26,"Yes","No"))</f>
        <v>No</v>
      </c>
      <c r="L6" s="49" t="n">
        <f aca="false">J6*IF(K6="No",Inputs!$B$27,1)</f>
        <v>0</v>
      </c>
      <c r="M6" s="39" t="n">
        <f aca="false">SUMIFS('Deal Log'!$O$5:$O$64,'Deal Log'!$B$5:$B$64,A6)</f>
        <v>959.04</v>
      </c>
      <c r="N6" s="21" t="n">
        <f aca="false">IF(Inputs!$B$28&gt;0,MIN(M6*L6,Inputs!$B$28),M6*L6)</f>
        <v>0</v>
      </c>
      <c r="O6" s="14"/>
    </row>
    <row r="7" customFormat="false" ht="15" hidden="false" customHeight="false" outlineLevel="0" collapsed="false">
      <c r="A7" s="46" t="n">
        <v>46388</v>
      </c>
      <c r="B7" s="38"/>
      <c r="C7" s="38"/>
      <c r="D7" s="47" t="n">
        <f aca="false">COUNTIFS('Deal Log'!$B$5:$B$64,A7)</f>
        <v>0</v>
      </c>
      <c r="E7" s="47" t="n">
        <f aca="false">COUNTIFS('Deal Log'!$B$5:$B$64,A7,'Deal Log'!$H$5:$H$64,"&lt;&gt;Self-sourced")</f>
        <v>0</v>
      </c>
      <c r="F7" s="39" t="n">
        <f aca="false">SUMIFS('Deal Log'!$E$5:$E$64,'Deal Log'!$B$5:$B$64,A7)</f>
        <v>0</v>
      </c>
      <c r="G7" s="43" t="n">
        <f aca="false">IF(N(B7)=0,0,E7/B7)</f>
        <v>0</v>
      </c>
      <c r="H7" s="28" t="n">
        <f aca="false">Inputs!$B$25</f>
        <v>6000</v>
      </c>
      <c r="I7" s="48" t="n">
        <f aca="false">IF(N(H7)=0,0,F7/H7)</f>
        <v>0</v>
      </c>
      <c r="J7" s="49" t="n">
        <f aca="false">INDEX(Inputs!$B$34:$B$38,MATCH(I7,Inputs!$A$34:$A$38,1))</f>
        <v>0</v>
      </c>
      <c r="K7" s="25" t="str">
        <f aca="false">IF(N(B7)=0,"n/a",IF(G7&gt;=Inputs!$B$26,"Yes","No"))</f>
        <v>n/a</v>
      </c>
      <c r="L7" s="49" t="n">
        <f aca="false">J7*IF(K7="No",Inputs!$B$27,1)</f>
        <v>0</v>
      </c>
      <c r="M7" s="39" t="n">
        <f aca="false">SUMIFS('Deal Log'!$O$5:$O$64,'Deal Log'!$B$5:$B$64,A7)</f>
        <v>0</v>
      </c>
      <c r="N7" s="21" t="n">
        <f aca="false">IF(Inputs!$B$28&gt;0,MIN(M7*L7,Inputs!$B$28),M7*L7)</f>
        <v>0</v>
      </c>
      <c r="O7" s="14"/>
    </row>
    <row r="8" customFormat="false" ht="15" hidden="false" customHeight="false" outlineLevel="0" collapsed="false">
      <c r="A8" s="46" t="n">
        <v>46419</v>
      </c>
      <c r="B8" s="38"/>
      <c r="C8" s="38"/>
      <c r="D8" s="47" t="n">
        <f aca="false">COUNTIFS('Deal Log'!$B$5:$B$64,A8)</f>
        <v>0</v>
      </c>
      <c r="E8" s="47" t="n">
        <f aca="false">COUNTIFS('Deal Log'!$B$5:$B$64,A8,'Deal Log'!$H$5:$H$64,"&lt;&gt;Self-sourced")</f>
        <v>0</v>
      </c>
      <c r="F8" s="39" t="n">
        <f aca="false">SUMIFS('Deal Log'!$E$5:$E$64,'Deal Log'!$B$5:$B$64,A8)</f>
        <v>0</v>
      </c>
      <c r="G8" s="43" t="n">
        <f aca="false">IF(N(B8)=0,0,E8/B8)</f>
        <v>0</v>
      </c>
      <c r="H8" s="28" t="n">
        <f aca="false">Inputs!$B$25</f>
        <v>6000</v>
      </c>
      <c r="I8" s="48" t="n">
        <f aca="false">IF(N(H8)=0,0,F8/H8)</f>
        <v>0</v>
      </c>
      <c r="J8" s="49" t="n">
        <f aca="false">INDEX(Inputs!$B$34:$B$38,MATCH(I8,Inputs!$A$34:$A$38,1))</f>
        <v>0</v>
      </c>
      <c r="K8" s="25" t="str">
        <f aca="false">IF(N(B8)=0,"n/a",IF(G8&gt;=Inputs!$B$26,"Yes","No"))</f>
        <v>n/a</v>
      </c>
      <c r="L8" s="49" t="n">
        <f aca="false">J8*IF(K8="No",Inputs!$B$27,1)</f>
        <v>0</v>
      </c>
      <c r="M8" s="39" t="n">
        <f aca="false">SUMIFS('Deal Log'!$O$5:$O$64,'Deal Log'!$B$5:$B$64,A8)</f>
        <v>0</v>
      </c>
      <c r="N8" s="21" t="n">
        <f aca="false">IF(Inputs!$B$28&gt;0,MIN(M8*L8,Inputs!$B$28),M8*L8)</f>
        <v>0</v>
      </c>
      <c r="O8" s="14"/>
    </row>
    <row r="9" customFormat="false" ht="15" hidden="false" customHeight="false" outlineLevel="0" collapsed="false">
      <c r="A9" s="46" t="n">
        <v>46447</v>
      </c>
      <c r="B9" s="38"/>
      <c r="C9" s="38"/>
      <c r="D9" s="47" t="n">
        <f aca="false">COUNTIFS('Deal Log'!$B$5:$B$64,A9)</f>
        <v>0</v>
      </c>
      <c r="E9" s="47" t="n">
        <f aca="false">COUNTIFS('Deal Log'!$B$5:$B$64,A9,'Deal Log'!$H$5:$H$64,"&lt;&gt;Self-sourced")</f>
        <v>0</v>
      </c>
      <c r="F9" s="39" t="n">
        <f aca="false">SUMIFS('Deal Log'!$E$5:$E$64,'Deal Log'!$B$5:$B$64,A9)</f>
        <v>0</v>
      </c>
      <c r="G9" s="43" t="n">
        <f aca="false">IF(N(B9)=0,0,E9/B9)</f>
        <v>0</v>
      </c>
      <c r="H9" s="28" t="n">
        <f aca="false">Inputs!$B$25</f>
        <v>6000</v>
      </c>
      <c r="I9" s="48" t="n">
        <f aca="false">IF(N(H9)=0,0,F9/H9)</f>
        <v>0</v>
      </c>
      <c r="J9" s="49" t="n">
        <f aca="false">INDEX(Inputs!$B$34:$B$38,MATCH(I9,Inputs!$A$34:$A$38,1))</f>
        <v>0</v>
      </c>
      <c r="K9" s="25" t="str">
        <f aca="false">IF(N(B9)=0,"n/a",IF(G9&gt;=Inputs!$B$26,"Yes","No"))</f>
        <v>n/a</v>
      </c>
      <c r="L9" s="49" t="n">
        <f aca="false">J9*IF(K9="No",Inputs!$B$27,1)</f>
        <v>0</v>
      </c>
      <c r="M9" s="39" t="n">
        <f aca="false">SUMIFS('Deal Log'!$O$5:$O$64,'Deal Log'!$B$5:$B$64,A9)</f>
        <v>0</v>
      </c>
      <c r="N9" s="21" t="n">
        <f aca="false">IF(Inputs!$B$28&gt;0,MIN(M9*L9,Inputs!$B$28),M9*L9)</f>
        <v>0</v>
      </c>
      <c r="O9" s="14"/>
    </row>
    <row r="10" customFormat="false" ht="15" hidden="false" customHeight="false" outlineLevel="0" collapsed="false">
      <c r="A10" s="46" t="n">
        <v>46478</v>
      </c>
      <c r="B10" s="38"/>
      <c r="C10" s="38"/>
      <c r="D10" s="47" t="n">
        <f aca="false">COUNTIFS('Deal Log'!$B$5:$B$64,A10)</f>
        <v>0</v>
      </c>
      <c r="E10" s="47" t="n">
        <f aca="false">COUNTIFS('Deal Log'!$B$5:$B$64,A10,'Deal Log'!$H$5:$H$64,"&lt;&gt;Self-sourced")</f>
        <v>0</v>
      </c>
      <c r="F10" s="39" t="n">
        <f aca="false">SUMIFS('Deal Log'!$E$5:$E$64,'Deal Log'!$B$5:$B$64,A10)</f>
        <v>0</v>
      </c>
      <c r="G10" s="43" t="n">
        <f aca="false">IF(N(B10)=0,0,E10/B10)</f>
        <v>0</v>
      </c>
      <c r="H10" s="28" t="n">
        <f aca="false">Inputs!$B$25</f>
        <v>6000</v>
      </c>
      <c r="I10" s="48" t="n">
        <f aca="false">IF(N(H10)=0,0,F10/H10)</f>
        <v>0</v>
      </c>
      <c r="J10" s="49" t="n">
        <f aca="false">INDEX(Inputs!$B$34:$B$38,MATCH(I10,Inputs!$A$34:$A$38,1))</f>
        <v>0</v>
      </c>
      <c r="K10" s="25" t="str">
        <f aca="false">IF(N(B10)=0,"n/a",IF(G10&gt;=Inputs!$B$26,"Yes","No"))</f>
        <v>n/a</v>
      </c>
      <c r="L10" s="49" t="n">
        <f aca="false">J10*IF(K10="No",Inputs!$B$27,1)</f>
        <v>0</v>
      </c>
      <c r="M10" s="39" t="n">
        <f aca="false">SUMIFS('Deal Log'!$O$5:$O$64,'Deal Log'!$B$5:$B$64,A10)</f>
        <v>0</v>
      </c>
      <c r="N10" s="21" t="n">
        <f aca="false">IF(Inputs!$B$28&gt;0,MIN(M10*L10,Inputs!$B$28),M10*L10)</f>
        <v>0</v>
      </c>
      <c r="O10" s="14"/>
    </row>
    <row r="11" customFormat="false" ht="15" hidden="false" customHeight="false" outlineLevel="0" collapsed="false">
      <c r="A11" s="46" t="n">
        <v>46508</v>
      </c>
      <c r="B11" s="38"/>
      <c r="C11" s="38"/>
      <c r="D11" s="47" t="n">
        <f aca="false">COUNTIFS('Deal Log'!$B$5:$B$64,A11)</f>
        <v>0</v>
      </c>
      <c r="E11" s="47" t="n">
        <f aca="false">COUNTIFS('Deal Log'!$B$5:$B$64,A11,'Deal Log'!$H$5:$H$64,"&lt;&gt;Self-sourced")</f>
        <v>0</v>
      </c>
      <c r="F11" s="39" t="n">
        <f aca="false">SUMIFS('Deal Log'!$E$5:$E$64,'Deal Log'!$B$5:$B$64,A11)</f>
        <v>0</v>
      </c>
      <c r="G11" s="43" t="n">
        <f aca="false">IF(N(B11)=0,0,E11/B11)</f>
        <v>0</v>
      </c>
      <c r="H11" s="28" t="n">
        <f aca="false">Inputs!$B$25</f>
        <v>6000</v>
      </c>
      <c r="I11" s="48" t="n">
        <f aca="false">IF(N(H11)=0,0,F11/H11)</f>
        <v>0</v>
      </c>
      <c r="J11" s="49" t="n">
        <f aca="false">INDEX(Inputs!$B$34:$B$38,MATCH(I11,Inputs!$A$34:$A$38,1))</f>
        <v>0</v>
      </c>
      <c r="K11" s="25" t="str">
        <f aca="false">IF(N(B11)=0,"n/a",IF(G11&gt;=Inputs!$B$26,"Yes","No"))</f>
        <v>n/a</v>
      </c>
      <c r="L11" s="49" t="n">
        <f aca="false">J11*IF(K11="No",Inputs!$B$27,1)</f>
        <v>0</v>
      </c>
      <c r="M11" s="39" t="n">
        <f aca="false">SUMIFS('Deal Log'!$O$5:$O$64,'Deal Log'!$B$5:$B$64,A11)</f>
        <v>0</v>
      </c>
      <c r="N11" s="21" t="n">
        <f aca="false">IF(Inputs!$B$28&gt;0,MIN(M11*L11,Inputs!$B$28),M11*L11)</f>
        <v>0</v>
      </c>
      <c r="O11" s="14"/>
    </row>
    <row r="12" customFormat="false" ht="15" hidden="false" customHeight="false" outlineLevel="0" collapsed="false">
      <c r="A12" s="46" t="n">
        <v>46539</v>
      </c>
      <c r="B12" s="38"/>
      <c r="C12" s="38"/>
      <c r="D12" s="47" t="n">
        <f aca="false">COUNTIFS('Deal Log'!$B$5:$B$64,A12)</f>
        <v>0</v>
      </c>
      <c r="E12" s="47" t="n">
        <f aca="false">COUNTIFS('Deal Log'!$B$5:$B$64,A12,'Deal Log'!$H$5:$H$64,"&lt;&gt;Self-sourced")</f>
        <v>0</v>
      </c>
      <c r="F12" s="39" t="n">
        <f aca="false">SUMIFS('Deal Log'!$E$5:$E$64,'Deal Log'!$B$5:$B$64,A12)</f>
        <v>0</v>
      </c>
      <c r="G12" s="43" t="n">
        <f aca="false">IF(N(B12)=0,0,E12/B12)</f>
        <v>0</v>
      </c>
      <c r="H12" s="28" t="n">
        <f aca="false">Inputs!$B$25</f>
        <v>6000</v>
      </c>
      <c r="I12" s="48" t="n">
        <f aca="false">IF(N(H12)=0,0,F12/H12)</f>
        <v>0</v>
      </c>
      <c r="J12" s="49" t="n">
        <f aca="false">INDEX(Inputs!$B$34:$B$38,MATCH(I12,Inputs!$A$34:$A$38,1))</f>
        <v>0</v>
      </c>
      <c r="K12" s="25" t="str">
        <f aca="false">IF(N(B12)=0,"n/a",IF(G12&gt;=Inputs!$B$26,"Yes","No"))</f>
        <v>n/a</v>
      </c>
      <c r="L12" s="49" t="n">
        <f aca="false">J12*IF(K12="No",Inputs!$B$27,1)</f>
        <v>0</v>
      </c>
      <c r="M12" s="39" t="n">
        <f aca="false">SUMIFS('Deal Log'!$O$5:$O$64,'Deal Log'!$B$5:$B$64,A12)</f>
        <v>0</v>
      </c>
      <c r="N12" s="21" t="n">
        <f aca="false">IF(Inputs!$B$28&gt;0,MIN(M12*L12,Inputs!$B$28),M12*L12)</f>
        <v>0</v>
      </c>
      <c r="O12" s="14"/>
    </row>
    <row r="13" customFormat="false" ht="15" hidden="false" customHeight="false" outlineLevel="0" collapsed="false">
      <c r="A13" s="46" t="n">
        <v>46569</v>
      </c>
      <c r="B13" s="38"/>
      <c r="C13" s="38"/>
      <c r="D13" s="47" t="n">
        <f aca="false">COUNTIFS('Deal Log'!$B$5:$B$64,A13)</f>
        <v>0</v>
      </c>
      <c r="E13" s="47" t="n">
        <f aca="false">COUNTIFS('Deal Log'!$B$5:$B$64,A13,'Deal Log'!$H$5:$H$64,"&lt;&gt;Self-sourced")</f>
        <v>0</v>
      </c>
      <c r="F13" s="39" t="n">
        <f aca="false">SUMIFS('Deal Log'!$E$5:$E$64,'Deal Log'!$B$5:$B$64,A13)</f>
        <v>0</v>
      </c>
      <c r="G13" s="43" t="n">
        <f aca="false">IF(N(B13)=0,0,E13/B13)</f>
        <v>0</v>
      </c>
      <c r="H13" s="28" t="n">
        <f aca="false">Inputs!$B$25</f>
        <v>6000</v>
      </c>
      <c r="I13" s="48" t="n">
        <f aca="false">IF(N(H13)=0,0,F13/H13)</f>
        <v>0</v>
      </c>
      <c r="J13" s="49" t="n">
        <f aca="false">INDEX(Inputs!$B$34:$B$38,MATCH(I13,Inputs!$A$34:$A$38,1))</f>
        <v>0</v>
      </c>
      <c r="K13" s="25" t="str">
        <f aca="false">IF(N(B13)=0,"n/a",IF(G13&gt;=Inputs!$B$26,"Yes","No"))</f>
        <v>n/a</v>
      </c>
      <c r="L13" s="49" t="n">
        <f aca="false">J13*IF(K13="No",Inputs!$B$27,1)</f>
        <v>0</v>
      </c>
      <c r="M13" s="39" t="n">
        <f aca="false">SUMIFS('Deal Log'!$O$5:$O$64,'Deal Log'!$B$5:$B$64,A13)</f>
        <v>0</v>
      </c>
      <c r="N13" s="21" t="n">
        <f aca="false">IF(Inputs!$B$28&gt;0,MIN(M13*L13,Inputs!$B$28),M13*L13)</f>
        <v>0</v>
      </c>
      <c r="O13" s="14"/>
    </row>
    <row r="14" customFormat="false" ht="15" hidden="false" customHeight="false" outlineLevel="0" collapsed="false">
      <c r="A14" s="46" t="n">
        <v>46600</v>
      </c>
      <c r="B14" s="38"/>
      <c r="C14" s="38"/>
      <c r="D14" s="47" t="n">
        <f aca="false">COUNTIFS('Deal Log'!$B$5:$B$64,A14)</f>
        <v>0</v>
      </c>
      <c r="E14" s="47" t="n">
        <f aca="false">COUNTIFS('Deal Log'!$B$5:$B$64,A14,'Deal Log'!$H$5:$H$64,"&lt;&gt;Self-sourced")</f>
        <v>0</v>
      </c>
      <c r="F14" s="39" t="n">
        <f aca="false">SUMIFS('Deal Log'!$E$5:$E$64,'Deal Log'!$B$5:$B$64,A14)</f>
        <v>0</v>
      </c>
      <c r="G14" s="43" t="n">
        <f aca="false">IF(N(B14)=0,0,E14/B14)</f>
        <v>0</v>
      </c>
      <c r="H14" s="28" t="n">
        <f aca="false">Inputs!$B$25</f>
        <v>6000</v>
      </c>
      <c r="I14" s="48" t="n">
        <f aca="false">IF(N(H14)=0,0,F14/H14)</f>
        <v>0</v>
      </c>
      <c r="J14" s="49" t="n">
        <f aca="false">INDEX(Inputs!$B$34:$B$38,MATCH(I14,Inputs!$A$34:$A$38,1))</f>
        <v>0</v>
      </c>
      <c r="K14" s="25" t="str">
        <f aca="false">IF(N(B14)=0,"n/a",IF(G14&gt;=Inputs!$B$26,"Yes","No"))</f>
        <v>n/a</v>
      </c>
      <c r="L14" s="49" t="n">
        <f aca="false">J14*IF(K14="No",Inputs!$B$27,1)</f>
        <v>0</v>
      </c>
      <c r="M14" s="39" t="n">
        <f aca="false">SUMIFS('Deal Log'!$O$5:$O$64,'Deal Log'!$B$5:$B$64,A14)</f>
        <v>0</v>
      </c>
      <c r="N14" s="21" t="n">
        <f aca="false">IF(Inputs!$B$28&gt;0,MIN(M14*L14,Inputs!$B$28),M14*L14)</f>
        <v>0</v>
      </c>
      <c r="O14" s="14"/>
    </row>
    <row r="15" customFormat="false" ht="15" hidden="false" customHeight="false" outlineLevel="0" collapsed="false">
      <c r="A15" s="46" t="n">
        <v>46631</v>
      </c>
      <c r="B15" s="38"/>
      <c r="C15" s="38"/>
      <c r="D15" s="47" t="n">
        <f aca="false">COUNTIFS('Deal Log'!$B$5:$B$64,A15)</f>
        <v>0</v>
      </c>
      <c r="E15" s="47" t="n">
        <f aca="false">COUNTIFS('Deal Log'!$B$5:$B$64,A15,'Deal Log'!$H$5:$H$64,"&lt;&gt;Self-sourced")</f>
        <v>0</v>
      </c>
      <c r="F15" s="39" t="n">
        <f aca="false">SUMIFS('Deal Log'!$E$5:$E$64,'Deal Log'!$B$5:$B$64,A15)</f>
        <v>0</v>
      </c>
      <c r="G15" s="43" t="n">
        <f aca="false">IF(N(B15)=0,0,E15/B15)</f>
        <v>0</v>
      </c>
      <c r="H15" s="28" t="n">
        <f aca="false">Inputs!$B$25</f>
        <v>6000</v>
      </c>
      <c r="I15" s="48" t="n">
        <f aca="false">IF(N(H15)=0,0,F15/H15)</f>
        <v>0</v>
      </c>
      <c r="J15" s="49" t="n">
        <f aca="false">INDEX(Inputs!$B$34:$B$38,MATCH(I15,Inputs!$A$34:$A$38,1))</f>
        <v>0</v>
      </c>
      <c r="K15" s="25" t="str">
        <f aca="false">IF(N(B15)=0,"n/a",IF(G15&gt;=Inputs!$B$26,"Yes","No"))</f>
        <v>n/a</v>
      </c>
      <c r="L15" s="49" t="n">
        <f aca="false">J15*IF(K15="No",Inputs!$B$27,1)</f>
        <v>0</v>
      </c>
      <c r="M15" s="39" t="n">
        <f aca="false">SUMIFS('Deal Log'!$O$5:$O$64,'Deal Log'!$B$5:$B$64,A15)</f>
        <v>0</v>
      </c>
      <c r="N15" s="21" t="n">
        <f aca="false">IF(Inputs!$B$28&gt;0,MIN(M15*L15,Inputs!$B$28),M15*L15)</f>
        <v>0</v>
      </c>
      <c r="O15" s="14"/>
    </row>
    <row r="16" customFormat="false" ht="15" hidden="false" customHeight="false" outlineLevel="0" collapsed="false">
      <c r="A16" s="46" t="n">
        <v>46661</v>
      </c>
      <c r="B16" s="38"/>
      <c r="C16" s="38"/>
      <c r="D16" s="47" t="n">
        <f aca="false">COUNTIFS('Deal Log'!$B$5:$B$64,A16)</f>
        <v>0</v>
      </c>
      <c r="E16" s="47" t="n">
        <f aca="false">COUNTIFS('Deal Log'!$B$5:$B$64,A16,'Deal Log'!$H$5:$H$64,"&lt;&gt;Self-sourced")</f>
        <v>0</v>
      </c>
      <c r="F16" s="39" t="n">
        <f aca="false">SUMIFS('Deal Log'!$E$5:$E$64,'Deal Log'!$B$5:$B$64,A16)</f>
        <v>0</v>
      </c>
      <c r="G16" s="43" t="n">
        <f aca="false">IF(N(B16)=0,0,E16/B16)</f>
        <v>0</v>
      </c>
      <c r="H16" s="28" t="n">
        <f aca="false">Inputs!$B$25</f>
        <v>6000</v>
      </c>
      <c r="I16" s="48" t="n">
        <f aca="false">IF(N(H16)=0,0,F16/H16)</f>
        <v>0</v>
      </c>
      <c r="J16" s="49" t="n">
        <f aca="false">INDEX(Inputs!$B$34:$B$38,MATCH(I16,Inputs!$A$34:$A$38,1))</f>
        <v>0</v>
      </c>
      <c r="K16" s="25" t="str">
        <f aca="false">IF(N(B16)=0,"n/a",IF(G16&gt;=Inputs!$B$26,"Yes","No"))</f>
        <v>n/a</v>
      </c>
      <c r="L16" s="49" t="n">
        <f aca="false">J16*IF(K16="No",Inputs!$B$27,1)</f>
        <v>0</v>
      </c>
      <c r="M16" s="39" t="n">
        <f aca="false">SUMIFS('Deal Log'!$O$5:$O$64,'Deal Log'!$B$5:$B$64,A16)</f>
        <v>0</v>
      </c>
      <c r="N16" s="21" t="n">
        <f aca="false">IF(Inputs!$B$28&gt;0,MIN(M16*L16,Inputs!$B$28),M16*L16)</f>
        <v>0</v>
      </c>
      <c r="O16" s="14"/>
    </row>
    <row r="17" customFormat="false" ht="15" hidden="false" customHeight="false" outlineLevel="0" collapsed="false">
      <c r="A17" s="44" t="s">
        <v>144</v>
      </c>
      <c r="B17" s="50" t="n">
        <f aca="false">SUM(B5:B16)</f>
        <v>115</v>
      </c>
      <c r="C17" s="50" t="n">
        <f aca="false">SUM(C5:C16)</f>
        <v>26</v>
      </c>
      <c r="D17" s="50" t="n">
        <f aca="false">SUM(D5:D16)</f>
        <v>6</v>
      </c>
      <c r="E17" s="50" t="n">
        <f aca="false">SUM(E5:E16)</f>
        <v>4</v>
      </c>
      <c r="F17" s="21" t="n">
        <f aca="false">SUM(F5:F16)</f>
        <v>7596.6</v>
      </c>
      <c r="G17" s="51" t="n">
        <f aca="false">IF(B17=0,0,E17/B17)</f>
        <v>0.0347826086956522</v>
      </c>
      <c r="H17" s="21" t="n">
        <f aca="false">SUM(H5:H16)</f>
        <v>72000</v>
      </c>
      <c r="I17" s="52" t="n">
        <f aca="false">IF(H17=0,0,F17/H17)</f>
        <v>0.105508333333333</v>
      </c>
      <c r="J17" s="1"/>
      <c r="K17" s="1"/>
      <c r="L17" s="1"/>
      <c r="M17" s="21" t="n">
        <f aca="false">SUM(M5:M16)</f>
        <v>9016.944</v>
      </c>
      <c r="N17" s="21" t="n">
        <f aca="false">SUM(N5:N16)</f>
        <v>8057.904</v>
      </c>
      <c r="O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5" t="s">
        <v>160</v>
      </c>
      <c r="B1" s="1"/>
      <c r="C1" s="1"/>
    </row>
    <row r="2" customFormat="false" ht="30" hidden="false" customHeight="true" outlineLevel="0" collapsed="false">
      <c r="A2" s="53" t="s">
        <v>161</v>
      </c>
      <c r="B2" s="53"/>
      <c r="C2" s="53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9" t="s">
        <v>162</v>
      </c>
      <c r="B4" s="9" t="s">
        <v>163</v>
      </c>
      <c r="C4" s="9" t="s">
        <v>164</v>
      </c>
    </row>
    <row r="5" customFormat="false" ht="30" hidden="false" customHeight="true" outlineLevel="0" collapsed="false">
      <c r="A5" s="16" t="s">
        <v>165</v>
      </c>
      <c r="B5" s="10" t="s">
        <v>166</v>
      </c>
      <c r="C5" s="10" t="s">
        <v>167</v>
      </c>
    </row>
    <row r="6" customFormat="false" ht="30" hidden="false" customHeight="true" outlineLevel="0" collapsed="false">
      <c r="A6" s="16" t="s">
        <v>168</v>
      </c>
      <c r="B6" s="10" t="s">
        <v>169</v>
      </c>
      <c r="C6" s="10" t="s">
        <v>170</v>
      </c>
    </row>
    <row r="7" customFormat="false" ht="30" hidden="false" customHeight="true" outlineLevel="0" collapsed="false">
      <c r="A7" s="16" t="s">
        <v>171</v>
      </c>
      <c r="B7" s="10" t="s">
        <v>172</v>
      </c>
      <c r="C7" s="10" t="s">
        <v>173</v>
      </c>
    </row>
    <row r="8" customFormat="false" ht="30" hidden="false" customHeight="true" outlineLevel="0" collapsed="false">
      <c r="A8" s="16" t="s">
        <v>174</v>
      </c>
      <c r="B8" s="10" t="s">
        <v>175</v>
      </c>
      <c r="C8" s="10" t="s">
        <v>176</v>
      </c>
    </row>
    <row r="9" customFormat="false" ht="30" hidden="false" customHeight="true" outlineLevel="0" collapsed="false">
      <c r="A9" s="16" t="s">
        <v>177</v>
      </c>
      <c r="B9" s="10" t="s">
        <v>178</v>
      </c>
      <c r="C9" s="10" t="s">
        <v>179</v>
      </c>
    </row>
    <row r="10" customFormat="false" ht="30" hidden="false" customHeight="true" outlineLevel="0" collapsed="false">
      <c r="A10" s="16" t="s">
        <v>180</v>
      </c>
      <c r="B10" s="10" t="s">
        <v>181</v>
      </c>
      <c r="C10" s="10" t="s">
        <v>182</v>
      </c>
    </row>
    <row r="11" customFormat="false" ht="30" hidden="false" customHeight="true" outlineLevel="0" collapsed="false">
      <c r="A11" s="16" t="s">
        <v>59</v>
      </c>
      <c r="B11" s="10" t="s">
        <v>183</v>
      </c>
      <c r="C11" s="10" t="s">
        <v>184</v>
      </c>
    </row>
    <row r="12" customFormat="false" ht="30" hidden="false" customHeight="true" outlineLevel="0" collapsed="false">
      <c r="A12" s="16" t="s">
        <v>185</v>
      </c>
      <c r="B12" s="10" t="s">
        <v>186</v>
      </c>
      <c r="C12" s="10" t="s">
        <v>187</v>
      </c>
    </row>
    <row r="13" customFormat="false" ht="30" hidden="false" customHeight="true" outlineLevel="0" collapsed="false">
      <c r="A13" s="16" t="s">
        <v>188</v>
      </c>
      <c r="B13" s="10" t="s">
        <v>189</v>
      </c>
      <c r="C13" s="10" t="s">
        <v>190</v>
      </c>
    </row>
    <row r="14" customFormat="false" ht="30" hidden="false" customHeight="true" outlineLevel="0" collapsed="false">
      <c r="A14" s="16" t="s">
        <v>191</v>
      </c>
      <c r="B14" s="10" t="s">
        <v>192</v>
      </c>
      <c r="C14" s="10" t="s">
        <v>193</v>
      </c>
    </row>
    <row r="15" customFormat="false" ht="30" hidden="false" customHeight="true" outlineLevel="0" collapsed="false">
      <c r="A15" s="16" t="s">
        <v>194</v>
      </c>
      <c r="B15" s="10" t="s">
        <v>195</v>
      </c>
      <c r="C15" s="10" t="s">
        <v>196</v>
      </c>
    </row>
    <row r="16" customFormat="false" ht="30" hidden="false" customHeight="true" outlineLevel="0" collapsed="false">
      <c r="A16" s="16" t="s">
        <v>197</v>
      </c>
      <c r="B16" s="10" t="s">
        <v>198</v>
      </c>
      <c r="C16" s="10" t="s">
        <v>199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2026-10-16T16:02:59Z</dcterms:created>
  <dc:creator>openpyxl</dc:creator>
  <dc:description/>
  <dc:language>en-US</dc:language>
  <cp:lastModifiedBy/>
  <dcterms:modified xsi:type="dcterms:W3CDTF">2026-10-16T16:02:59Z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